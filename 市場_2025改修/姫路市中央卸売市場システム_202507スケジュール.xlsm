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Git001\市場_2025改修\"/>
    </mc:Choice>
  </mc:AlternateContent>
  <xr:revisionPtr revIDLastSave="0" documentId="13_ncr:1_{12B309DB-FE23-43BD-9F16-AA6A560E7F1E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WBS!$A$9:$IH$55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WBS!$A$1:$FO$58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8" l="1"/>
  <c r="B20" i="28"/>
  <c r="B17" i="28"/>
  <c r="B14" i="28"/>
  <c r="B15" i="28"/>
  <c r="B16" i="28"/>
  <c r="B49" i="28"/>
  <c r="B39" i="28"/>
  <c r="B33" i="28"/>
  <c r="B13" i="28"/>
  <c r="B18" i="28"/>
  <c r="B19" i="28"/>
  <c r="B21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3" i="28"/>
  <c r="B44" i="28"/>
  <c r="B45" i="28"/>
  <c r="B46" i="28"/>
  <c r="B47" i="28"/>
  <c r="B48" i="28"/>
  <c r="B50" i="28"/>
  <c r="B51" i="28"/>
  <c r="B52" i="28"/>
  <c r="B53" i="28"/>
  <c r="B54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S5" i="28"/>
  <c r="HT4" i="28"/>
  <c r="HS4" i="28"/>
  <c r="HT6" i="28" l="1"/>
  <c r="HU2" i="28"/>
  <c r="HU4" i="28" s="1"/>
  <c r="HT5" i="28"/>
  <c r="HU5" i="28" l="1"/>
  <c r="HV2" i="28"/>
  <c r="HU6" i="28"/>
  <c r="HV4" i="28"/>
  <c r="HV6" i="28" l="1"/>
  <c r="HV5" i="28"/>
</calcChain>
</file>

<file path=xl/sharedStrings.xml><?xml version="1.0" encoding="utf-8"?>
<sst xmlns="http://schemas.openxmlformats.org/spreadsheetml/2006/main" count="126" uniqueCount="51">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</sst>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4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0" fontId="5" fillId="26" borderId="82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77" fontId="41" fillId="29" borderId="3" xfId="0" applyNumberFormat="1" applyFont="1" applyFill="1" applyBorder="1" applyAlignment="1">
      <alignment horizontal="center" vertical="center"/>
    </xf>
    <xf numFmtId="177" fontId="41" fillId="29" borderId="24" xfId="0" applyNumberFormat="1" applyFont="1" applyFill="1" applyBorder="1" applyAlignment="1">
      <alignment horizontal="center" vertical="center"/>
    </xf>
    <xf numFmtId="178" fontId="40" fillId="29" borderId="3" xfId="0" applyNumberFormat="1" applyFont="1" applyFill="1" applyBorder="1" applyAlignment="1">
      <alignment horizontal="center" vertical="center" shrinkToFit="1"/>
    </xf>
    <xf numFmtId="178" fontId="40" fillId="29" borderId="24" xfId="0" applyNumberFormat="1" applyFont="1" applyFill="1" applyBorder="1" applyAlignment="1">
      <alignment horizontal="center" vertical="center" shrinkToFit="1"/>
    </xf>
    <xf numFmtId="178" fontId="40" fillId="29" borderId="0" xfId="0" applyNumberFormat="1" applyFont="1" applyFill="1" applyAlignment="1">
      <alignment horizontal="center" vertical="center"/>
    </xf>
    <xf numFmtId="178" fontId="40" fillId="29" borderId="80" xfId="0" applyNumberFormat="1" applyFont="1" applyFill="1" applyBorder="1" applyAlignment="1">
      <alignment horizontal="center" vertical="center"/>
    </xf>
    <xf numFmtId="177" fontId="24" fillId="29" borderId="58" xfId="0" applyNumberFormat="1" applyFont="1" applyFill="1" applyBorder="1" applyAlignment="1">
      <alignment horizontal="center" vertical="center"/>
    </xf>
    <xf numFmtId="177" fontId="40" fillId="29" borderId="83" xfId="0" applyNumberFormat="1" applyFont="1" applyFill="1" applyBorder="1" applyAlignment="1">
      <alignment horizontal="center" vertical="center"/>
    </xf>
    <xf numFmtId="177" fontId="40" fillId="29" borderId="50" xfId="0" applyNumberFormat="1" applyFont="1" applyFill="1" applyBorder="1" applyAlignment="1">
      <alignment horizontal="center" vertical="center"/>
    </xf>
    <xf numFmtId="177" fontId="40" fillId="29" borderId="46" xfId="0" applyNumberFormat="1" applyFont="1" applyFill="1" applyBorder="1" applyAlignment="1">
      <alignment horizontal="center" vertical="center"/>
    </xf>
    <xf numFmtId="177" fontId="40" fillId="29" borderId="62" xfId="0" applyNumberFormat="1" applyFont="1" applyFill="1" applyBorder="1" applyAlignment="1">
      <alignment horizontal="center" vertical="center"/>
    </xf>
    <xf numFmtId="177" fontId="40" fillId="29" borderId="63" xfId="0" applyNumberFormat="1" applyFont="1" applyFill="1" applyBorder="1" applyAlignment="1">
      <alignment horizontal="center" vertical="center"/>
    </xf>
    <xf numFmtId="180" fontId="40" fillId="25" borderId="84" xfId="0" applyNumberFormat="1" applyFont="1" applyFill="1" applyBorder="1" applyAlignment="1">
      <alignment horizontal="center" vertical="center"/>
    </xf>
    <xf numFmtId="177" fontId="41" fillId="0" borderId="85" xfId="0" applyNumberFormat="1" applyFont="1" applyBorder="1" applyAlignment="1">
      <alignment horizontal="center" vertical="center"/>
    </xf>
    <xf numFmtId="178" fontId="40" fillId="0" borderId="85" xfId="0" applyNumberFormat="1" applyFont="1" applyBorder="1" applyAlignment="1">
      <alignment horizontal="center" vertical="center" shrinkToFit="1"/>
    </xf>
    <xf numFmtId="178" fontId="40" fillId="0" borderId="86" xfId="0" applyNumberFormat="1" applyFont="1" applyBorder="1" applyAlignment="1">
      <alignment horizontal="center" vertical="center"/>
    </xf>
    <xf numFmtId="177" fontId="24" fillId="26" borderId="87" xfId="0" applyNumberFormat="1" applyFont="1" applyFill="1" applyBorder="1" applyAlignment="1">
      <alignment horizontal="center" vertical="center"/>
    </xf>
    <xf numFmtId="177" fontId="40" fillId="27" borderId="88" xfId="0" applyNumberFormat="1" applyFont="1" applyFill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177" fontId="40" fillId="0" borderId="89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29" borderId="46" xfId="0" applyNumberFormat="1" applyFont="1" applyFill="1" applyBorder="1" applyAlignment="1">
      <alignment horizontal="center" vertical="center"/>
    </xf>
    <xf numFmtId="177" fontId="47" fillId="29" borderId="50" xfId="0" applyNumberFormat="1" applyFont="1" applyFill="1" applyBorder="1" applyAlignment="1">
      <alignment horizontal="center" vertical="center"/>
    </xf>
    <xf numFmtId="177" fontId="47" fillId="0" borderId="88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100" xfId="0" applyFont="1" applyBorder="1" applyAlignment="1">
      <alignment horizontal="center" vertical="center" wrapText="1"/>
    </xf>
    <xf numFmtId="56" fontId="5" fillId="0" borderId="100" xfId="0" applyNumberFormat="1" applyFont="1" applyBorder="1" applyAlignment="1">
      <alignment horizontal="center" vertical="center" wrapText="1"/>
    </xf>
    <xf numFmtId="176" fontId="5" fillId="0" borderId="100" xfId="0" applyNumberFormat="1" applyFont="1" applyBorder="1" applyAlignment="1">
      <alignment horizontal="center" vertical="center" wrapText="1" shrinkToFit="1"/>
    </xf>
    <xf numFmtId="176" fontId="5" fillId="0" borderId="99" xfId="0" applyNumberFormat="1" applyFont="1" applyBorder="1" applyAlignment="1">
      <alignment horizontal="center" vertical="center" wrapText="1" shrinkToFit="1"/>
    </xf>
    <xf numFmtId="9" fontId="5" fillId="28" borderId="100" xfId="0" applyNumberFormat="1" applyFont="1" applyFill="1" applyBorder="1" applyAlignment="1">
      <alignment horizontal="center" vertical="center" wrapText="1" shrinkToFit="1"/>
    </xf>
    <xf numFmtId="0" fontId="29" fillId="0" borderId="83" xfId="0" applyFont="1" applyBorder="1" applyAlignment="1">
      <alignment vertical="center"/>
    </xf>
    <xf numFmtId="0" fontId="5" fillId="26" borderId="39" xfId="0" applyFont="1" applyFill="1" applyBorder="1" applyAlignment="1">
      <alignment vertical="top" wrapTex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1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182" fontId="25" fillId="0" borderId="73" xfId="0" applyNumberFormat="1" applyFont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90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28" fillId="0" borderId="98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4" xfId="0" applyFont="1" applyFill="1" applyBorder="1" applyAlignment="1">
      <alignment horizontal="center" vertical="center"/>
    </xf>
    <xf numFmtId="182" fontId="25" fillId="0" borderId="94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4" xfId="0" applyFill="1" applyBorder="1" applyAlignment="1">
      <alignment horizontal="center" vertical="center"/>
    </xf>
    <xf numFmtId="0" fontId="25" fillId="24" borderId="95" xfId="0" applyFont="1" applyFill="1" applyBorder="1" applyAlignment="1">
      <alignment horizontal="center" vertical="center" wrapText="1"/>
    </xf>
    <xf numFmtId="0" fontId="0" fillId="0" borderId="9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29" fillId="24" borderId="93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4" xfId="0" applyFill="1" applyBorder="1" applyAlignment="1">
      <alignment horizontal="center" vertical="center" wrapText="1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177</xdr:col>
      <xdr:colOff>0</xdr:colOff>
      <xdr:row>51</xdr:row>
      <xdr:rowOff>119063</xdr:rowOff>
    </xdr:from>
    <xdr:to>
      <xdr:col>180</xdr:col>
      <xdr:colOff>0</xdr:colOff>
      <xdr:row>51</xdr:row>
      <xdr:rowOff>261938</xdr:rowOff>
    </xdr:to>
    <xdr:sp macro="" textlink="">
      <xdr:nvSpPr>
        <xdr:cNvPr id="172585" name="自動予定52">
          <a:extLst>
            <a:ext uri="{FF2B5EF4-FFF2-40B4-BE49-F238E27FC236}">
              <a16:creationId xmlns:a16="http://schemas.microsoft.com/office/drawing/2014/main" id="{6E7DFD4B-E832-D020-AAD2-D7B07D05BB15}"/>
            </a:ext>
          </a:extLst>
        </xdr:cNvPr>
        <xdr:cNvSpPr/>
      </xdr:nvSpPr>
      <xdr:spPr bwMode="auto">
        <a:xfrm>
          <a:off x="37299900" y="17768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50</xdr:row>
      <xdr:rowOff>119063</xdr:rowOff>
    </xdr:from>
    <xdr:to>
      <xdr:col>166</xdr:col>
      <xdr:colOff>0</xdr:colOff>
      <xdr:row>50</xdr:row>
      <xdr:rowOff>261938</xdr:rowOff>
    </xdr:to>
    <xdr:sp macro="" textlink="">
      <xdr:nvSpPr>
        <xdr:cNvPr id="172583" name="自動予定51">
          <a:extLst>
            <a:ext uri="{FF2B5EF4-FFF2-40B4-BE49-F238E27FC236}">
              <a16:creationId xmlns:a16="http://schemas.microsoft.com/office/drawing/2014/main" id="{32AAE728-0E51-8D18-D42A-48535208F328}"/>
            </a:ext>
          </a:extLst>
        </xdr:cNvPr>
        <xdr:cNvSpPr/>
      </xdr:nvSpPr>
      <xdr:spPr bwMode="auto">
        <a:xfrm>
          <a:off x="3117532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110</xdr:col>
      <xdr:colOff>0</xdr:colOff>
      <xdr:row>49</xdr:row>
      <xdr:rowOff>119063</xdr:rowOff>
    </xdr:from>
    <xdr:to>
      <xdr:col>141</xdr:col>
      <xdr:colOff>0</xdr:colOff>
      <xdr:row>49</xdr:row>
      <xdr:rowOff>261938</xdr:rowOff>
    </xdr:to>
    <xdr:sp macro="" textlink="">
      <xdr:nvSpPr>
        <xdr:cNvPr id="172581" name="自動予定50">
          <a:extLst>
            <a:ext uri="{FF2B5EF4-FFF2-40B4-BE49-F238E27FC236}">
              <a16:creationId xmlns:a16="http://schemas.microsoft.com/office/drawing/2014/main" id="{0D93BA97-53F1-5C95-FD26-7D6206ACBC95}"/>
            </a:ext>
          </a:extLst>
        </xdr:cNvPr>
        <xdr:cNvSpPr/>
      </xdr:nvSpPr>
      <xdr:spPr bwMode="auto">
        <a:xfrm>
          <a:off x="2631757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48</xdr:row>
      <xdr:rowOff>119063</xdr:rowOff>
    </xdr:from>
    <xdr:to>
      <xdr:col>160</xdr:col>
      <xdr:colOff>0</xdr:colOff>
      <xdr:row>48</xdr:row>
      <xdr:rowOff>261938</xdr:rowOff>
    </xdr:to>
    <xdr:sp macro="" textlink="">
      <xdr:nvSpPr>
        <xdr:cNvPr id="172579" name="自動予定49">
          <a:extLst>
            <a:ext uri="{FF2B5EF4-FFF2-40B4-BE49-F238E27FC236}">
              <a16:creationId xmlns:a16="http://schemas.microsoft.com/office/drawing/2014/main" id="{093C610E-173A-C271-B1C8-AFDBE15D08A5}"/>
            </a:ext>
          </a:extLst>
        </xdr:cNvPr>
        <xdr:cNvSpPr/>
      </xdr:nvSpPr>
      <xdr:spPr bwMode="auto">
        <a:xfrm>
          <a:off x="3117532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126</xdr:col>
      <xdr:colOff>0</xdr:colOff>
      <xdr:row>45</xdr:row>
      <xdr:rowOff>119063</xdr:rowOff>
    </xdr:from>
    <xdr:to>
      <xdr:col>140</xdr:col>
      <xdr:colOff>0</xdr:colOff>
      <xdr:row>45</xdr:row>
      <xdr:rowOff>261938</xdr:rowOff>
    </xdr:to>
    <xdr:sp macro="" textlink="">
      <xdr:nvSpPr>
        <xdr:cNvPr id="172577" name="自動予定46">
          <a:extLst>
            <a:ext uri="{FF2B5EF4-FFF2-40B4-BE49-F238E27FC236}">
              <a16:creationId xmlns:a16="http://schemas.microsoft.com/office/drawing/2014/main" id="{D75E9673-4F51-06DF-85BA-E1E60D5AE644}"/>
            </a:ext>
          </a:extLst>
        </xdr:cNvPr>
        <xdr:cNvSpPr/>
      </xdr:nvSpPr>
      <xdr:spPr bwMode="auto">
        <a:xfrm>
          <a:off x="28908375" y="15482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110</xdr:col>
      <xdr:colOff>0</xdr:colOff>
      <xdr:row>43</xdr:row>
      <xdr:rowOff>119063</xdr:rowOff>
    </xdr:from>
    <xdr:to>
      <xdr:col>127</xdr:col>
      <xdr:colOff>0</xdr:colOff>
      <xdr:row>43</xdr:row>
      <xdr:rowOff>261938</xdr:rowOff>
    </xdr:to>
    <xdr:sp macro="" textlink="">
      <xdr:nvSpPr>
        <xdr:cNvPr id="172575" name="自動予定44">
          <a:extLst>
            <a:ext uri="{FF2B5EF4-FFF2-40B4-BE49-F238E27FC236}">
              <a16:creationId xmlns:a16="http://schemas.microsoft.com/office/drawing/2014/main" id="{1EDDABFE-96DB-AA0C-F157-4577891DD7FC}"/>
            </a:ext>
          </a:extLst>
        </xdr:cNvPr>
        <xdr:cNvSpPr/>
      </xdr:nvSpPr>
      <xdr:spPr bwMode="auto">
        <a:xfrm>
          <a:off x="26317575" y="14720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105</xdr:col>
      <xdr:colOff>0</xdr:colOff>
      <xdr:row>41</xdr:row>
      <xdr:rowOff>119063</xdr:rowOff>
    </xdr:from>
    <xdr:to>
      <xdr:col>107</xdr:col>
      <xdr:colOff>0</xdr:colOff>
      <xdr:row>41</xdr:row>
      <xdr:rowOff>261938</xdr:rowOff>
    </xdr:to>
    <xdr:sp macro="" textlink="">
      <xdr:nvSpPr>
        <xdr:cNvPr id="172573" name="自動予定42">
          <a:extLst>
            <a:ext uri="{FF2B5EF4-FFF2-40B4-BE49-F238E27FC236}">
              <a16:creationId xmlns:a16="http://schemas.microsoft.com/office/drawing/2014/main" id="{EE09F43C-76E0-A51D-F1C6-5F74D51FD3A2}"/>
            </a:ext>
          </a:extLst>
        </xdr:cNvPr>
        <xdr:cNvSpPr/>
      </xdr:nvSpPr>
      <xdr:spPr bwMode="auto">
        <a:xfrm>
          <a:off x="25507950" y="1395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98</xdr:col>
      <xdr:colOff>0</xdr:colOff>
      <xdr:row>40</xdr:row>
      <xdr:rowOff>119063</xdr:rowOff>
    </xdr:from>
    <xdr:to>
      <xdr:col>103</xdr:col>
      <xdr:colOff>0</xdr:colOff>
      <xdr:row>40</xdr:row>
      <xdr:rowOff>261938</xdr:rowOff>
    </xdr:to>
    <xdr:sp macro="" textlink="">
      <xdr:nvSpPr>
        <xdr:cNvPr id="172571" name="自動予定41">
          <a:extLst>
            <a:ext uri="{FF2B5EF4-FFF2-40B4-BE49-F238E27FC236}">
              <a16:creationId xmlns:a16="http://schemas.microsoft.com/office/drawing/2014/main" id="{71FE7C87-2DA7-8BB0-FD6D-51524994532F}"/>
            </a:ext>
          </a:extLst>
        </xdr:cNvPr>
        <xdr:cNvSpPr/>
      </xdr:nvSpPr>
      <xdr:spPr bwMode="auto">
        <a:xfrm>
          <a:off x="24374475" y="13577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39</xdr:row>
      <xdr:rowOff>119063</xdr:rowOff>
    </xdr:from>
    <xdr:to>
      <xdr:col>96</xdr:col>
      <xdr:colOff>0</xdr:colOff>
      <xdr:row>39</xdr:row>
      <xdr:rowOff>261938</xdr:rowOff>
    </xdr:to>
    <xdr:sp macro="" textlink="">
      <xdr:nvSpPr>
        <xdr:cNvPr id="172569" name="自動予定40">
          <a:extLst>
            <a:ext uri="{FF2B5EF4-FFF2-40B4-BE49-F238E27FC236}">
              <a16:creationId xmlns:a16="http://schemas.microsoft.com/office/drawing/2014/main" id="{0372BAC3-72F8-AB8F-1A60-34DA03E503D6}"/>
            </a:ext>
          </a:extLst>
        </xdr:cNvPr>
        <xdr:cNvSpPr/>
      </xdr:nvSpPr>
      <xdr:spPr bwMode="auto">
        <a:xfrm>
          <a:off x="23402925" y="13196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84</xdr:col>
      <xdr:colOff>0</xdr:colOff>
      <xdr:row>38</xdr:row>
      <xdr:rowOff>119063</xdr:rowOff>
    </xdr:from>
    <xdr:to>
      <xdr:col>89</xdr:col>
      <xdr:colOff>0</xdr:colOff>
      <xdr:row>38</xdr:row>
      <xdr:rowOff>261938</xdr:rowOff>
    </xdr:to>
    <xdr:sp macro="" textlink="">
      <xdr:nvSpPr>
        <xdr:cNvPr id="172567" name="自動予定39">
          <a:extLst>
            <a:ext uri="{FF2B5EF4-FFF2-40B4-BE49-F238E27FC236}">
              <a16:creationId xmlns:a16="http://schemas.microsoft.com/office/drawing/2014/main" id="{28B5FD1D-7A9F-46F8-A508-E87F8FF904A2}"/>
            </a:ext>
          </a:extLst>
        </xdr:cNvPr>
        <xdr:cNvSpPr/>
      </xdr:nvSpPr>
      <xdr:spPr bwMode="auto">
        <a:xfrm>
          <a:off x="22107525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77</xdr:col>
      <xdr:colOff>0</xdr:colOff>
      <xdr:row>37</xdr:row>
      <xdr:rowOff>119063</xdr:rowOff>
    </xdr:from>
    <xdr:to>
      <xdr:col>82</xdr:col>
      <xdr:colOff>0</xdr:colOff>
      <xdr:row>37</xdr:row>
      <xdr:rowOff>261938</xdr:rowOff>
    </xdr:to>
    <xdr:sp macro="" textlink="">
      <xdr:nvSpPr>
        <xdr:cNvPr id="172565" name="自動予定38">
          <a:extLst>
            <a:ext uri="{FF2B5EF4-FFF2-40B4-BE49-F238E27FC236}">
              <a16:creationId xmlns:a16="http://schemas.microsoft.com/office/drawing/2014/main" id="{F86C4577-A4C8-0C24-343A-DE13D4358CC2}"/>
            </a:ext>
          </a:extLst>
        </xdr:cNvPr>
        <xdr:cNvSpPr/>
      </xdr:nvSpPr>
      <xdr:spPr bwMode="auto">
        <a:xfrm>
          <a:off x="20974050" y="12434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0</xdr:colOff>
      <xdr:row>36</xdr:row>
      <xdr:rowOff>119063</xdr:rowOff>
    </xdr:from>
    <xdr:to>
      <xdr:col>75</xdr:col>
      <xdr:colOff>0</xdr:colOff>
      <xdr:row>36</xdr:row>
      <xdr:rowOff>261938</xdr:rowOff>
    </xdr:to>
    <xdr:sp macro="" textlink="">
      <xdr:nvSpPr>
        <xdr:cNvPr id="172563" name="自動予定37">
          <a:extLst>
            <a:ext uri="{FF2B5EF4-FFF2-40B4-BE49-F238E27FC236}">
              <a16:creationId xmlns:a16="http://schemas.microsoft.com/office/drawing/2014/main" id="{01C4B956-D85A-0BE5-B948-4182F55FD4A0}"/>
            </a:ext>
          </a:extLst>
        </xdr:cNvPr>
        <xdr:cNvSpPr/>
      </xdr:nvSpPr>
      <xdr:spPr bwMode="auto">
        <a:xfrm>
          <a:off x="20164425" y="12053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0</xdr:colOff>
      <xdr:row>35</xdr:row>
      <xdr:rowOff>119063</xdr:rowOff>
    </xdr:from>
    <xdr:to>
      <xdr:col>67</xdr:col>
      <xdr:colOff>0</xdr:colOff>
      <xdr:row>35</xdr:row>
      <xdr:rowOff>261938</xdr:rowOff>
    </xdr:to>
    <xdr:sp macro="" textlink="">
      <xdr:nvSpPr>
        <xdr:cNvPr id="172561" name="自動予定36">
          <a:extLst>
            <a:ext uri="{FF2B5EF4-FFF2-40B4-BE49-F238E27FC236}">
              <a16:creationId xmlns:a16="http://schemas.microsoft.com/office/drawing/2014/main" id="{2BF0BA05-5421-9165-8119-97461A0B86E9}"/>
            </a:ext>
          </a:extLst>
        </xdr:cNvPr>
        <xdr:cNvSpPr/>
      </xdr:nvSpPr>
      <xdr:spPr bwMode="auto">
        <a:xfrm>
          <a:off x="1904047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34</xdr:row>
      <xdr:rowOff>119063</xdr:rowOff>
    </xdr:from>
    <xdr:to>
      <xdr:col>65</xdr:col>
      <xdr:colOff>0</xdr:colOff>
      <xdr:row>34</xdr:row>
      <xdr:rowOff>261938</xdr:rowOff>
    </xdr:to>
    <xdr:sp macro="" textlink="">
      <xdr:nvSpPr>
        <xdr:cNvPr id="172559" name="自動予定35">
          <a:extLst>
            <a:ext uri="{FF2B5EF4-FFF2-40B4-BE49-F238E27FC236}">
              <a16:creationId xmlns:a16="http://schemas.microsoft.com/office/drawing/2014/main" id="{93FE5AA3-7171-22C6-FA68-9E52CB7868F7}"/>
            </a:ext>
          </a:extLst>
        </xdr:cNvPr>
        <xdr:cNvSpPr/>
      </xdr:nvSpPr>
      <xdr:spPr bwMode="auto">
        <a:xfrm>
          <a:off x="1887855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32</xdr:row>
      <xdr:rowOff>119063</xdr:rowOff>
    </xdr:from>
    <xdr:to>
      <xdr:col>59</xdr:col>
      <xdr:colOff>0</xdr:colOff>
      <xdr:row>32</xdr:row>
      <xdr:rowOff>261938</xdr:rowOff>
    </xdr:to>
    <xdr:sp macro="" textlink="">
      <xdr:nvSpPr>
        <xdr:cNvPr id="172557" name="自動予定33">
          <a:extLst>
            <a:ext uri="{FF2B5EF4-FFF2-40B4-BE49-F238E27FC236}">
              <a16:creationId xmlns:a16="http://schemas.microsoft.com/office/drawing/2014/main" id="{6EDC8EF9-A4B0-8D45-E04B-70C1C09ABAC8}"/>
            </a:ext>
          </a:extLst>
        </xdr:cNvPr>
        <xdr:cNvSpPr/>
      </xdr:nvSpPr>
      <xdr:spPr bwMode="auto">
        <a:xfrm>
          <a:off x="17907000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31</xdr:row>
      <xdr:rowOff>119063</xdr:rowOff>
    </xdr:from>
    <xdr:to>
      <xdr:col>58</xdr:col>
      <xdr:colOff>0</xdr:colOff>
      <xdr:row>31</xdr:row>
      <xdr:rowOff>261938</xdr:rowOff>
    </xdr:to>
    <xdr:sp macro="" textlink="">
      <xdr:nvSpPr>
        <xdr:cNvPr id="172555" name="自動予定32">
          <a:extLst>
            <a:ext uri="{FF2B5EF4-FFF2-40B4-BE49-F238E27FC236}">
              <a16:creationId xmlns:a16="http://schemas.microsoft.com/office/drawing/2014/main" id="{130C65DB-2A50-202D-30E3-50DE2A84E3EA}"/>
            </a:ext>
          </a:extLst>
        </xdr:cNvPr>
        <xdr:cNvSpPr/>
      </xdr:nvSpPr>
      <xdr:spPr bwMode="auto">
        <a:xfrm>
          <a:off x="1758315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30</xdr:row>
      <xdr:rowOff>119063</xdr:rowOff>
    </xdr:from>
    <xdr:to>
      <xdr:col>54</xdr:col>
      <xdr:colOff>0</xdr:colOff>
      <xdr:row>30</xdr:row>
      <xdr:rowOff>261938</xdr:rowOff>
    </xdr:to>
    <xdr:sp macro="" textlink="">
      <xdr:nvSpPr>
        <xdr:cNvPr id="172553" name="自動予定31">
          <a:extLst>
            <a:ext uri="{FF2B5EF4-FFF2-40B4-BE49-F238E27FC236}">
              <a16:creationId xmlns:a16="http://schemas.microsoft.com/office/drawing/2014/main" id="{2C967BE7-796B-4E76-EE79-5D9013F98059}"/>
            </a:ext>
          </a:extLst>
        </xdr:cNvPr>
        <xdr:cNvSpPr/>
      </xdr:nvSpPr>
      <xdr:spPr bwMode="auto">
        <a:xfrm>
          <a:off x="16935450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29</xdr:row>
      <xdr:rowOff>119063</xdr:rowOff>
    </xdr:from>
    <xdr:to>
      <xdr:col>52</xdr:col>
      <xdr:colOff>0</xdr:colOff>
      <xdr:row>29</xdr:row>
      <xdr:rowOff>261938</xdr:rowOff>
    </xdr:to>
    <xdr:sp macro="" textlink="">
      <xdr:nvSpPr>
        <xdr:cNvPr id="172551" name="自動予定30">
          <a:extLst>
            <a:ext uri="{FF2B5EF4-FFF2-40B4-BE49-F238E27FC236}">
              <a16:creationId xmlns:a16="http://schemas.microsoft.com/office/drawing/2014/main" id="{1E48BAC8-4838-FA96-9AEA-6C623E3335D3}"/>
            </a:ext>
          </a:extLst>
        </xdr:cNvPr>
        <xdr:cNvSpPr/>
      </xdr:nvSpPr>
      <xdr:spPr bwMode="auto">
        <a:xfrm>
          <a:off x="16402050" y="9386888"/>
          <a:ext cx="533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28</xdr:row>
      <xdr:rowOff>119063</xdr:rowOff>
    </xdr:from>
    <xdr:to>
      <xdr:col>52</xdr:col>
      <xdr:colOff>0</xdr:colOff>
      <xdr:row>28</xdr:row>
      <xdr:rowOff>261938</xdr:rowOff>
    </xdr:to>
    <xdr:sp macro="" textlink="">
      <xdr:nvSpPr>
        <xdr:cNvPr id="172549" name="自動予定29">
          <a:extLst>
            <a:ext uri="{FF2B5EF4-FFF2-40B4-BE49-F238E27FC236}">
              <a16:creationId xmlns:a16="http://schemas.microsoft.com/office/drawing/2014/main" id="{037A59FA-F603-9477-5E39-119159B704C4}"/>
            </a:ext>
          </a:extLst>
        </xdr:cNvPr>
        <xdr:cNvSpPr/>
      </xdr:nvSpPr>
      <xdr:spPr bwMode="auto">
        <a:xfrm>
          <a:off x="16773525" y="900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27</xdr:row>
      <xdr:rowOff>119063</xdr:rowOff>
    </xdr:from>
    <xdr:to>
      <xdr:col>47</xdr:col>
      <xdr:colOff>0</xdr:colOff>
      <xdr:row>27</xdr:row>
      <xdr:rowOff>261938</xdr:rowOff>
    </xdr:to>
    <xdr:sp macro="" textlink="">
      <xdr:nvSpPr>
        <xdr:cNvPr id="172547" name="自動予定28">
          <a:extLst>
            <a:ext uri="{FF2B5EF4-FFF2-40B4-BE49-F238E27FC236}">
              <a16:creationId xmlns:a16="http://schemas.microsoft.com/office/drawing/2014/main" id="{07EEB311-6521-7FDE-AEAE-6A01BCA4B84B}"/>
            </a:ext>
          </a:extLst>
        </xdr:cNvPr>
        <xdr:cNvSpPr/>
      </xdr:nvSpPr>
      <xdr:spPr bwMode="auto">
        <a:xfrm>
          <a:off x="15268575" y="8624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26</xdr:row>
      <xdr:rowOff>119063</xdr:rowOff>
    </xdr:from>
    <xdr:to>
      <xdr:col>40</xdr:col>
      <xdr:colOff>0</xdr:colOff>
      <xdr:row>26</xdr:row>
      <xdr:rowOff>261938</xdr:rowOff>
    </xdr:to>
    <xdr:sp macro="" textlink="">
      <xdr:nvSpPr>
        <xdr:cNvPr id="172545" name="自動予定27">
          <a:extLst>
            <a:ext uri="{FF2B5EF4-FFF2-40B4-BE49-F238E27FC236}">
              <a16:creationId xmlns:a16="http://schemas.microsoft.com/office/drawing/2014/main" id="{AD2D1C88-AA18-E178-057D-65C28FC80AD9}"/>
            </a:ext>
          </a:extLst>
        </xdr:cNvPr>
        <xdr:cNvSpPr/>
      </xdr:nvSpPr>
      <xdr:spPr bwMode="auto">
        <a:xfrm>
          <a:off x="1462087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25</xdr:row>
      <xdr:rowOff>119063</xdr:rowOff>
    </xdr:from>
    <xdr:to>
      <xdr:col>45</xdr:col>
      <xdr:colOff>0</xdr:colOff>
      <xdr:row>25</xdr:row>
      <xdr:rowOff>261938</xdr:rowOff>
    </xdr:to>
    <xdr:sp macro="" textlink="">
      <xdr:nvSpPr>
        <xdr:cNvPr id="172543" name="自動予定26">
          <a:extLst>
            <a:ext uri="{FF2B5EF4-FFF2-40B4-BE49-F238E27FC236}">
              <a16:creationId xmlns:a16="http://schemas.microsoft.com/office/drawing/2014/main" id="{01F7BF89-8020-63C9-EA24-D1F1F990483A}"/>
            </a:ext>
          </a:extLst>
        </xdr:cNvPr>
        <xdr:cNvSpPr/>
      </xdr:nvSpPr>
      <xdr:spPr bwMode="auto">
        <a:xfrm>
          <a:off x="15592425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24</xdr:row>
      <xdr:rowOff>119063</xdr:rowOff>
    </xdr:from>
    <xdr:to>
      <xdr:col>38</xdr:col>
      <xdr:colOff>0</xdr:colOff>
      <xdr:row>24</xdr:row>
      <xdr:rowOff>261938</xdr:rowOff>
    </xdr:to>
    <xdr:sp macro="" textlink="">
      <xdr:nvSpPr>
        <xdr:cNvPr id="172541" name="自動予定25">
          <a:extLst>
            <a:ext uri="{FF2B5EF4-FFF2-40B4-BE49-F238E27FC236}">
              <a16:creationId xmlns:a16="http://schemas.microsoft.com/office/drawing/2014/main" id="{82605D96-0522-AB5F-F624-587BEC916B81}"/>
            </a:ext>
          </a:extLst>
        </xdr:cNvPr>
        <xdr:cNvSpPr/>
      </xdr:nvSpPr>
      <xdr:spPr bwMode="auto">
        <a:xfrm>
          <a:off x="14458950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23</xdr:row>
      <xdr:rowOff>119063</xdr:rowOff>
    </xdr:from>
    <xdr:to>
      <xdr:col>37</xdr:col>
      <xdr:colOff>0</xdr:colOff>
      <xdr:row>23</xdr:row>
      <xdr:rowOff>261938</xdr:rowOff>
    </xdr:to>
    <xdr:sp macro="" textlink="">
      <xdr:nvSpPr>
        <xdr:cNvPr id="172539" name="自動予定24">
          <a:extLst>
            <a:ext uri="{FF2B5EF4-FFF2-40B4-BE49-F238E27FC236}">
              <a16:creationId xmlns:a16="http://schemas.microsoft.com/office/drawing/2014/main" id="{89DA3AB3-7A31-09BB-FD82-3CB73D332BF0}"/>
            </a:ext>
          </a:extLst>
        </xdr:cNvPr>
        <xdr:cNvSpPr/>
      </xdr:nvSpPr>
      <xdr:spPr bwMode="auto">
        <a:xfrm>
          <a:off x="14297025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22</xdr:row>
      <xdr:rowOff>119063</xdr:rowOff>
    </xdr:from>
    <xdr:to>
      <xdr:col>36</xdr:col>
      <xdr:colOff>0</xdr:colOff>
      <xdr:row>22</xdr:row>
      <xdr:rowOff>261938</xdr:rowOff>
    </xdr:to>
    <xdr:sp macro="" textlink="">
      <xdr:nvSpPr>
        <xdr:cNvPr id="172537" name="自動予定23">
          <a:extLst>
            <a:ext uri="{FF2B5EF4-FFF2-40B4-BE49-F238E27FC236}">
              <a16:creationId xmlns:a16="http://schemas.microsoft.com/office/drawing/2014/main" id="{EACCA379-ACA1-CE94-616A-C7A216F0DFC1}"/>
            </a:ext>
          </a:extLst>
        </xdr:cNvPr>
        <xdr:cNvSpPr/>
      </xdr:nvSpPr>
      <xdr:spPr bwMode="auto">
        <a:xfrm>
          <a:off x="14135100" y="671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20</xdr:row>
      <xdr:rowOff>119063</xdr:rowOff>
    </xdr:from>
    <xdr:to>
      <xdr:col>45</xdr:col>
      <xdr:colOff>0</xdr:colOff>
      <xdr:row>20</xdr:row>
      <xdr:rowOff>261938</xdr:rowOff>
    </xdr:to>
    <xdr:sp macro="" textlink="">
      <xdr:nvSpPr>
        <xdr:cNvPr id="172535" name="自動予定21">
          <a:extLst>
            <a:ext uri="{FF2B5EF4-FFF2-40B4-BE49-F238E27FC236}">
              <a16:creationId xmlns:a16="http://schemas.microsoft.com/office/drawing/2014/main" id="{21B5A37D-961D-83C5-2FBE-0C8BB94F73CB}"/>
            </a:ext>
          </a:extLst>
        </xdr:cNvPr>
        <xdr:cNvSpPr/>
      </xdr:nvSpPr>
      <xdr:spPr bwMode="auto">
        <a:xfrm>
          <a:off x="15592425" y="595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31</xdr:col>
      <xdr:colOff>0</xdr:colOff>
      <xdr:row>18</xdr:row>
      <xdr:rowOff>261938</xdr:rowOff>
    </xdr:to>
    <xdr:sp macro="" textlink="">
      <xdr:nvSpPr>
        <xdr:cNvPr id="172533" name="自動予定19">
          <a:extLst>
            <a:ext uri="{FF2B5EF4-FFF2-40B4-BE49-F238E27FC236}">
              <a16:creationId xmlns:a16="http://schemas.microsoft.com/office/drawing/2014/main" id="{8F3B91A2-E5A9-D659-6093-D841B32ABF1C}"/>
            </a:ext>
          </a:extLst>
        </xdr:cNvPr>
        <xdr:cNvSpPr/>
      </xdr:nvSpPr>
      <xdr:spPr bwMode="auto">
        <a:xfrm>
          <a:off x="13325475" y="519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72531" name="自動予定18">
          <a:extLst>
            <a:ext uri="{FF2B5EF4-FFF2-40B4-BE49-F238E27FC236}">
              <a16:creationId xmlns:a16="http://schemas.microsoft.com/office/drawing/2014/main" id="{67F8CB12-9ABB-68F0-7BA9-BC8B01C161C6}"/>
            </a:ext>
          </a:extLst>
        </xdr:cNvPr>
        <xdr:cNvSpPr/>
      </xdr:nvSpPr>
      <xdr:spPr bwMode="auto">
        <a:xfrm>
          <a:off x="13163550" y="4814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16</xdr:row>
      <xdr:rowOff>119063</xdr:rowOff>
    </xdr:from>
    <xdr:to>
      <xdr:col>29</xdr:col>
      <xdr:colOff>0</xdr:colOff>
      <xdr:row>16</xdr:row>
      <xdr:rowOff>261938</xdr:rowOff>
    </xdr:to>
    <xdr:sp macro="" textlink="">
      <xdr:nvSpPr>
        <xdr:cNvPr id="172529" name="自動予定17">
          <a:extLst>
            <a:ext uri="{FF2B5EF4-FFF2-40B4-BE49-F238E27FC236}">
              <a16:creationId xmlns:a16="http://schemas.microsoft.com/office/drawing/2014/main" id="{FCF182B3-42B2-AD3D-9A58-FBD005161E21}"/>
            </a:ext>
          </a:extLst>
        </xdr:cNvPr>
        <xdr:cNvSpPr/>
      </xdr:nvSpPr>
      <xdr:spPr bwMode="auto">
        <a:xfrm>
          <a:off x="13001625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72527" name="自動予定16">
          <a:extLst>
            <a:ext uri="{FF2B5EF4-FFF2-40B4-BE49-F238E27FC236}">
              <a16:creationId xmlns:a16="http://schemas.microsoft.com/office/drawing/2014/main" id="{B3E7E528-BEDB-C106-6030-26FF767B416A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14</xdr:row>
      <xdr:rowOff>119063</xdr:rowOff>
    </xdr:from>
    <xdr:to>
      <xdr:col>25</xdr:col>
      <xdr:colOff>0</xdr:colOff>
      <xdr:row>14</xdr:row>
      <xdr:rowOff>261938</xdr:rowOff>
    </xdr:to>
    <xdr:sp macro="" textlink="">
      <xdr:nvSpPr>
        <xdr:cNvPr id="172525" name="自動予定15">
          <a:extLst>
            <a:ext uri="{FF2B5EF4-FFF2-40B4-BE49-F238E27FC236}">
              <a16:creationId xmlns:a16="http://schemas.microsoft.com/office/drawing/2014/main" id="{1D6CF724-5FB3-7EFC-E968-377A929ACF87}"/>
            </a:ext>
          </a:extLst>
        </xdr:cNvPr>
        <xdr:cNvSpPr/>
      </xdr:nvSpPr>
      <xdr:spPr bwMode="auto">
        <a:xfrm>
          <a:off x="12353925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13</xdr:row>
      <xdr:rowOff>119063</xdr:rowOff>
    </xdr:from>
    <xdr:to>
      <xdr:col>37</xdr:col>
      <xdr:colOff>0</xdr:colOff>
      <xdr:row>13</xdr:row>
      <xdr:rowOff>261938</xdr:rowOff>
    </xdr:to>
    <xdr:sp macro="" textlink="">
      <xdr:nvSpPr>
        <xdr:cNvPr id="172523" name="自動予定14">
          <a:extLst>
            <a:ext uri="{FF2B5EF4-FFF2-40B4-BE49-F238E27FC236}">
              <a16:creationId xmlns:a16="http://schemas.microsoft.com/office/drawing/2014/main" id="{E4C6A07B-3B18-499D-16A2-A35C2FC2CAB7}"/>
            </a:ext>
          </a:extLst>
        </xdr:cNvPr>
        <xdr:cNvSpPr/>
      </xdr:nvSpPr>
      <xdr:spPr bwMode="auto">
        <a:xfrm>
          <a:off x="142970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12</xdr:row>
      <xdr:rowOff>119063</xdr:rowOff>
    </xdr:from>
    <xdr:to>
      <xdr:col>23</xdr:col>
      <xdr:colOff>0</xdr:colOff>
      <xdr:row>12</xdr:row>
      <xdr:rowOff>261938</xdr:rowOff>
    </xdr:to>
    <xdr:sp macro="" textlink="">
      <xdr:nvSpPr>
        <xdr:cNvPr id="172521" name="自動予定13">
          <a:extLst>
            <a:ext uri="{FF2B5EF4-FFF2-40B4-BE49-F238E27FC236}">
              <a16:creationId xmlns:a16="http://schemas.microsoft.com/office/drawing/2014/main" id="{483F86AF-C01B-518C-08F7-1130384732EF}"/>
            </a:ext>
          </a:extLst>
        </xdr:cNvPr>
        <xdr:cNvSpPr/>
      </xdr:nvSpPr>
      <xdr:spPr bwMode="auto">
        <a:xfrm>
          <a:off x="11868150" y="290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11</xdr:row>
      <xdr:rowOff>119063</xdr:rowOff>
    </xdr:from>
    <xdr:to>
      <xdr:col>22</xdr:col>
      <xdr:colOff>0</xdr:colOff>
      <xdr:row>11</xdr:row>
      <xdr:rowOff>261938</xdr:rowOff>
    </xdr:to>
    <xdr:sp macro="" textlink="">
      <xdr:nvSpPr>
        <xdr:cNvPr id="172519" name="自動予定12">
          <a:extLst>
            <a:ext uri="{FF2B5EF4-FFF2-40B4-BE49-F238E27FC236}">
              <a16:creationId xmlns:a16="http://schemas.microsoft.com/office/drawing/2014/main" id="{23458B7E-BE10-9A71-8563-351F61D8005E}"/>
            </a:ext>
          </a:extLst>
        </xdr:cNvPr>
        <xdr:cNvSpPr/>
      </xdr:nvSpPr>
      <xdr:spPr bwMode="auto">
        <a:xfrm>
          <a:off x="1186815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10</xdr:row>
      <xdr:rowOff>119063</xdr:rowOff>
    </xdr:from>
    <xdr:to>
      <xdr:col>19</xdr:col>
      <xdr:colOff>0</xdr:colOff>
      <xdr:row>10</xdr:row>
      <xdr:rowOff>261938</xdr:rowOff>
    </xdr:to>
    <xdr:sp macro="" textlink="">
      <xdr:nvSpPr>
        <xdr:cNvPr id="172517" name="自動予定11">
          <a:extLst>
            <a:ext uri="{FF2B5EF4-FFF2-40B4-BE49-F238E27FC236}">
              <a16:creationId xmlns:a16="http://schemas.microsoft.com/office/drawing/2014/main" id="{46F415AE-F43F-0FBD-FE69-C00BBE909BB4}"/>
            </a:ext>
          </a:extLst>
        </xdr:cNvPr>
        <xdr:cNvSpPr/>
      </xdr:nvSpPr>
      <xdr:spPr bwMode="auto">
        <a:xfrm>
          <a:off x="11325225" y="2147888"/>
          <a:ext cx="2190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9</xdr:row>
      <xdr:rowOff>119063</xdr:rowOff>
    </xdr:from>
    <xdr:to>
      <xdr:col>24</xdr:col>
      <xdr:colOff>0</xdr:colOff>
      <xdr:row>9</xdr:row>
      <xdr:rowOff>261938</xdr:rowOff>
    </xdr:to>
    <xdr:sp macro="" textlink="">
      <xdr:nvSpPr>
        <xdr:cNvPr id="172515" name="自動予定10">
          <a:extLst>
            <a:ext uri="{FF2B5EF4-FFF2-40B4-BE49-F238E27FC236}">
              <a16:creationId xmlns:a16="http://schemas.microsoft.com/office/drawing/2014/main" id="{BFD3D437-F7D4-BD94-7B8A-4364CFCF313F}"/>
            </a:ext>
          </a:extLst>
        </xdr:cNvPr>
        <xdr:cNvSpPr/>
      </xdr:nvSpPr>
      <xdr:spPr bwMode="auto">
        <a:xfrm>
          <a:off x="121920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0</xdr:colOff>
      <xdr:row>9</xdr:row>
      <xdr:rowOff>233363</xdr:rowOff>
    </xdr:from>
    <xdr:to>
      <xdr:col>23</xdr:col>
      <xdr:colOff>0</xdr:colOff>
      <xdr:row>9</xdr:row>
      <xdr:rowOff>233363</xdr:rowOff>
    </xdr:to>
    <xdr:cxnSp macro="">
      <xdr:nvCxnSpPr>
        <xdr:cNvPr id="172516" name="自動進捗10">
          <a:extLst>
            <a:ext uri="{FF2B5EF4-FFF2-40B4-BE49-F238E27FC236}">
              <a16:creationId xmlns:a16="http://schemas.microsoft.com/office/drawing/2014/main" id="{E1D0AC27-AE46-53B2-BA0A-46C3ED461A52}"/>
            </a:ext>
          </a:extLst>
        </xdr:cNvPr>
        <xdr:cNvCxnSpPr/>
      </xdr:nvCxnSpPr>
      <xdr:spPr bwMode="auto">
        <a:xfrm>
          <a:off x="12192000" y="188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233363</xdr:rowOff>
    </xdr:from>
    <xdr:to>
      <xdr:col>17</xdr:col>
      <xdr:colOff>0</xdr:colOff>
      <xdr:row>10</xdr:row>
      <xdr:rowOff>233363</xdr:rowOff>
    </xdr:to>
    <xdr:cxnSp macro="">
      <xdr:nvCxnSpPr>
        <xdr:cNvPr id="172518" name="自動進捗11">
          <a:extLst>
            <a:ext uri="{FF2B5EF4-FFF2-40B4-BE49-F238E27FC236}">
              <a16:creationId xmlns:a16="http://schemas.microsoft.com/office/drawing/2014/main" id="{23585518-4EA1-ACEE-0375-52531BF5B478}"/>
            </a:ext>
          </a:extLst>
        </xdr:cNvPr>
        <xdr:cNvCxnSpPr/>
      </xdr:nvCxnSpPr>
      <xdr:spPr bwMode="auto">
        <a:xfrm>
          <a:off x="11325225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0</xdr:colOff>
      <xdr:row>11</xdr:row>
      <xdr:rowOff>233363</xdr:rowOff>
    </xdr:from>
    <xdr:to>
      <xdr:col>21</xdr:col>
      <xdr:colOff>0</xdr:colOff>
      <xdr:row>11</xdr:row>
      <xdr:rowOff>233363</xdr:rowOff>
    </xdr:to>
    <xdr:cxnSp macro="">
      <xdr:nvCxnSpPr>
        <xdr:cNvPr id="172520" name="自動進捗12">
          <a:extLst>
            <a:ext uri="{FF2B5EF4-FFF2-40B4-BE49-F238E27FC236}">
              <a16:creationId xmlns:a16="http://schemas.microsoft.com/office/drawing/2014/main" id="{8C0F511F-951A-60D1-A463-2DEF21B70240}"/>
            </a:ext>
          </a:extLst>
        </xdr:cNvPr>
        <xdr:cNvCxnSpPr/>
      </xdr:nvCxnSpPr>
      <xdr:spPr bwMode="auto">
        <a:xfrm>
          <a:off x="11868150" y="264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0</xdr:colOff>
      <xdr:row>12</xdr:row>
      <xdr:rowOff>233363</xdr:rowOff>
    </xdr:from>
    <xdr:to>
      <xdr:col>21</xdr:col>
      <xdr:colOff>0</xdr:colOff>
      <xdr:row>12</xdr:row>
      <xdr:rowOff>233363</xdr:rowOff>
    </xdr:to>
    <xdr:cxnSp macro="">
      <xdr:nvCxnSpPr>
        <xdr:cNvPr id="172522" name="自動進捗13">
          <a:extLst>
            <a:ext uri="{FF2B5EF4-FFF2-40B4-BE49-F238E27FC236}">
              <a16:creationId xmlns:a16="http://schemas.microsoft.com/office/drawing/2014/main" id="{77A61B37-C022-23DA-27FB-01D538CC040C}"/>
            </a:ext>
          </a:extLst>
        </xdr:cNvPr>
        <xdr:cNvCxnSpPr/>
      </xdr:nvCxnSpPr>
      <xdr:spPr bwMode="auto">
        <a:xfrm>
          <a:off x="11868150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13</xdr:row>
      <xdr:rowOff>233363</xdr:rowOff>
    </xdr:from>
    <xdr:to>
      <xdr:col>36</xdr:col>
      <xdr:colOff>0</xdr:colOff>
      <xdr:row>13</xdr:row>
      <xdr:rowOff>233363</xdr:rowOff>
    </xdr:to>
    <xdr:cxnSp macro="">
      <xdr:nvCxnSpPr>
        <xdr:cNvPr id="172524" name="自動進捗14">
          <a:extLst>
            <a:ext uri="{FF2B5EF4-FFF2-40B4-BE49-F238E27FC236}">
              <a16:creationId xmlns:a16="http://schemas.microsoft.com/office/drawing/2014/main" id="{D044C387-66DF-5FA9-94CF-C86F3A2D2E7A}"/>
            </a:ext>
          </a:extLst>
        </xdr:cNvPr>
        <xdr:cNvCxnSpPr/>
      </xdr:nvCxnSpPr>
      <xdr:spPr bwMode="auto">
        <a:xfrm>
          <a:off x="14297025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14</xdr:row>
      <xdr:rowOff>233363</xdr:rowOff>
    </xdr:from>
    <xdr:to>
      <xdr:col>24</xdr:col>
      <xdr:colOff>0</xdr:colOff>
      <xdr:row>14</xdr:row>
      <xdr:rowOff>233363</xdr:rowOff>
    </xdr:to>
    <xdr:cxnSp macro="">
      <xdr:nvCxnSpPr>
        <xdr:cNvPr id="172526" name="自動進捗15">
          <a:extLst>
            <a:ext uri="{FF2B5EF4-FFF2-40B4-BE49-F238E27FC236}">
              <a16:creationId xmlns:a16="http://schemas.microsoft.com/office/drawing/2014/main" id="{1A0A07E3-8203-AD81-9A54-CA1EDD336FDD}"/>
            </a:ext>
          </a:extLst>
        </xdr:cNvPr>
        <xdr:cNvCxnSpPr/>
      </xdr:nvCxnSpPr>
      <xdr:spPr bwMode="auto">
        <a:xfrm>
          <a:off x="12353925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25</xdr:col>
      <xdr:colOff>0</xdr:colOff>
      <xdr:row>15</xdr:row>
      <xdr:rowOff>233363</xdr:rowOff>
    </xdr:to>
    <xdr:cxnSp macro="">
      <xdr:nvCxnSpPr>
        <xdr:cNvPr id="172528" name="自動進捗16">
          <a:extLst>
            <a:ext uri="{FF2B5EF4-FFF2-40B4-BE49-F238E27FC236}">
              <a16:creationId xmlns:a16="http://schemas.microsoft.com/office/drawing/2014/main" id="{A08E2AA2-938A-26BA-6DF2-B6AFB534C49A}"/>
            </a:ext>
          </a:extLst>
        </xdr:cNvPr>
        <xdr:cNvCxnSpPr/>
      </xdr:nvCxnSpPr>
      <xdr:spPr bwMode="auto">
        <a:xfrm>
          <a:off x="12515850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0</xdr:colOff>
      <xdr:row>16</xdr:row>
      <xdr:rowOff>233363</xdr:rowOff>
    </xdr:from>
    <xdr:to>
      <xdr:col>28</xdr:col>
      <xdr:colOff>0</xdr:colOff>
      <xdr:row>16</xdr:row>
      <xdr:rowOff>233363</xdr:rowOff>
    </xdr:to>
    <xdr:cxnSp macro="">
      <xdr:nvCxnSpPr>
        <xdr:cNvPr id="172530" name="自動進捗17">
          <a:extLst>
            <a:ext uri="{FF2B5EF4-FFF2-40B4-BE49-F238E27FC236}">
              <a16:creationId xmlns:a16="http://schemas.microsoft.com/office/drawing/2014/main" id="{13463B1E-3800-D6F9-786B-5A335C0B49F9}"/>
            </a:ext>
          </a:extLst>
        </xdr:cNvPr>
        <xdr:cNvCxnSpPr/>
      </xdr:nvCxnSpPr>
      <xdr:spPr bwMode="auto">
        <a:xfrm>
          <a:off x="13001625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17</xdr:row>
      <xdr:rowOff>233363</xdr:rowOff>
    </xdr:from>
    <xdr:to>
      <xdr:col>29</xdr:col>
      <xdr:colOff>0</xdr:colOff>
      <xdr:row>17</xdr:row>
      <xdr:rowOff>233363</xdr:rowOff>
    </xdr:to>
    <xdr:cxnSp macro="">
      <xdr:nvCxnSpPr>
        <xdr:cNvPr id="172532" name="自動進捗18">
          <a:extLst>
            <a:ext uri="{FF2B5EF4-FFF2-40B4-BE49-F238E27FC236}">
              <a16:creationId xmlns:a16="http://schemas.microsoft.com/office/drawing/2014/main" id="{E3C97BD1-D00A-8026-947B-E3270327DD63}"/>
            </a:ext>
          </a:extLst>
        </xdr:cNvPr>
        <xdr:cNvCxnSpPr/>
      </xdr:nvCxnSpPr>
      <xdr:spPr bwMode="auto">
        <a:xfrm>
          <a:off x="13163550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30</xdr:col>
      <xdr:colOff>0</xdr:colOff>
      <xdr:row>18</xdr:row>
      <xdr:rowOff>233363</xdr:rowOff>
    </xdr:to>
    <xdr:cxnSp macro="">
      <xdr:nvCxnSpPr>
        <xdr:cNvPr id="172534" name="自動進捗19">
          <a:extLst>
            <a:ext uri="{FF2B5EF4-FFF2-40B4-BE49-F238E27FC236}">
              <a16:creationId xmlns:a16="http://schemas.microsoft.com/office/drawing/2014/main" id="{5D30DB3A-A45F-AFC3-E49E-FBDA83D047E2}"/>
            </a:ext>
          </a:extLst>
        </xdr:cNvPr>
        <xdr:cNvCxnSpPr/>
      </xdr:nvCxnSpPr>
      <xdr:spPr bwMode="auto">
        <a:xfrm>
          <a:off x="13325475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44</xdr:col>
      <xdr:colOff>0</xdr:colOff>
      <xdr:row>20</xdr:row>
      <xdr:rowOff>233363</xdr:rowOff>
    </xdr:from>
    <xdr:to>
      <xdr:col>44</xdr:col>
      <xdr:colOff>0</xdr:colOff>
      <xdr:row>20</xdr:row>
      <xdr:rowOff>233363</xdr:rowOff>
    </xdr:to>
    <xdr:cxnSp macro="">
      <xdr:nvCxnSpPr>
        <xdr:cNvPr id="172536" name="自動進捗21">
          <a:extLst>
            <a:ext uri="{FF2B5EF4-FFF2-40B4-BE49-F238E27FC236}">
              <a16:creationId xmlns:a16="http://schemas.microsoft.com/office/drawing/2014/main" id="{73CB483E-6787-D3F8-68D6-56C9D0052932}"/>
            </a:ext>
          </a:extLst>
        </xdr:cNvPr>
        <xdr:cNvCxnSpPr/>
      </xdr:nvCxnSpPr>
      <xdr:spPr bwMode="auto">
        <a:xfrm>
          <a:off x="15592425" y="607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0</xdr:colOff>
      <xdr:row>22</xdr:row>
      <xdr:rowOff>233363</xdr:rowOff>
    </xdr:from>
    <xdr:to>
      <xdr:col>35</xdr:col>
      <xdr:colOff>0</xdr:colOff>
      <xdr:row>22</xdr:row>
      <xdr:rowOff>233363</xdr:rowOff>
    </xdr:to>
    <xdr:cxnSp macro="">
      <xdr:nvCxnSpPr>
        <xdr:cNvPr id="172538" name="自動進捗23">
          <a:extLst>
            <a:ext uri="{FF2B5EF4-FFF2-40B4-BE49-F238E27FC236}">
              <a16:creationId xmlns:a16="http://schemas.microsoft.com/office/drawing/2014/main" id="{1D53637D-EDF8-FF3C-AF83-2B6F1C85CD4C}"/>
            </a:ext>
          </a:extLst>
        </xdr:cNvPr>
        <xdr:cNvCxnSpPr/>
      </xdr:nvCxnSpPr>
      <xdr:spPr bwMode="auto">
        <a:xfrm>
          <a:off x="14135100" y="683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23</xdr:row>
      <xdr:rowOff>233363</xdr:rowOff>
    </xdr:from>
    <xdr:to>
      <xdr:col>36</xdr:col>
      <xdr:colOff>0</xdr:colOff>
      <xdr:row>23</xdr:row>
      <xdr:rowOff>233363</xdr:rowOff>
    </xdr:to>
    <xdr:cxnSp macro="">
      <xdr:nvCxnSpPr>
        <xdr:cNvPr id="172540" name="自動進捗24">
          <a:extLst>
            <a:ext uri="{FF2B5EF4-FFF2-40B4-BE49-F238E27FC236}">
              <a16:creationId xmlns:a16="http://schemas.microsoft.com/office/drawing/2014/main" id="{C6EC6585-2C04-6DD5-7C94-C22D15465E81}"/>
            </a:ext>
          </a:extLst>
        </xdr:cNvPr>
        <xdr:cNvCxnSpPr/>
      </xdr:nvCxnSpPr>
      <xdr:spPr bwMode="auto">
        <a:xfrm>
          <a:off x="14297025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37</xdr:col>
      <xdr:colOff>0</xdr:colOff>
      <xdr:row>24</xdr:row>
      <xdr:rowOff>233363</xdr:rowOff>
    </xdr:from>
    <xdr:to>
      <xdr:col>37</xdr:col>
      <xdr:colOff>0</xdr:colOff>
      <xdr:row>24</xdr:row>
      <xdr:rowOff>233363</xdr:rowOff>
    </xdr:to>
    <xdr:cxnSp macro="">
      <xdr:nvCxnSpPr>
        <xdr:cNvPr id="172542" name="自動進捗25">
          <a:extLst>
            <a:ext uri="{FF2B5EF4-FFF2-40B4-BE49-F238E27FC236}">
              <a16:creationId xmlns:a16="http://schemas.microsoft.com/office/drawing/2014/main" id="{BE655B58-6EC7-FF80-FBA4-4195E0139499}"/>
            </a:ext>
          </a:extLst>
        </xdr:cNvPr>
        <xdr:cNvCxnSpPr/>
      </xdr:nvCxnSpPr>
      <xdr:spPr bwMode="auto">
        <a:xfrm>
          <a:off x="14458950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44</xdr:col>
      <xdr:colOff>0</xdr:colOff>
      <xdr:row>25</xdr:row>
      <xdr:rowOff>233363</xdr:rowOff>
    </xdr:from>
    <xdr:to>
      <xdr:col>44</xdr:col>
      <xdr:colOff>0</xdr:colOff>
      <xdr:row>25</xdr:row>
      <xdr:rowOff>233363</xdr:rowOff>
    </xdr:to>
    <xdr:cxnSp macro="">
      <xdr:nvCxnSpPr>
        <xdr:cNvPr id="172544" name="自動進捗26">
          <a:extLst>
            <a:ext uri="{FF2B5EF4-FFF2-40B4-BE49-F238E27FC236}">
              <a16:creationId xmlns:a16="http://schemas.microsoft.com/office/drawing/2014/main" id="{737FA814-80F5-CAA7-5C2E-40935E3F9220}"/>
            </a:ext>
          </a:extLst>
        </xdr:cNvPr>
        <xdr:cNvCxnSpPr/>
      </xdr:nvCxnSpPr>
      <xdr:spPr bwMode="auto">
        <a:xfrm>
          <a:off x="15592425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26</xdr:row>
      <xdr:rowOff>233363</xdr:rowOff>
    </xdr:from>
    <xdr:to>
      <xdr:col>38</xdr:col>
      <xdr:colOff>0</xdr:colOff>
      <xdr:row>26</xdr:row>
      <xdr:rowOff>233363</xdr:rowOff>
    </xdr:to>
    <xdr:cxnSp macro="">
      <xdr:nvCxnSpPr>
        <xdr:cNvPr id="172546" name="自動進捗27">
          <a:extLst>
            <a:ext uri="{FF2B5EF4-FFF2-40B4-BE49-F238E27FC236}">
              <a16:creationId xmlns:a16="http://schemas.microsoft.com/office/drawing/2014/main" id="{C8900370-0B87-BC0D-2638-D8A634E96275}"/>
            </a:ext>
          </a:extLst>
        </xdr:cNvPr>
        <xdr:cNvCxnSpPr/>
      </xdr:nvCxnSpPr>
      <xdr:spPr bwMode="auto">
        <a:xfrm>
          <a:off x="1462087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42</xdr:col>
      <xdr:colOff>0</xdr:colOff>
      <xdr:row>27</xdr:row>
      <xdr:rowOff>233363</xdr:rowOff>
    </xdr:from>
    <xdr:to>
      <xdr:col>42</xdr:col>
      <xdr:colOff>0</xdr:colOff>
      <xdr:row>27</xdr:row>
      <xdr:rowOff>233363</xdr:rowOff>
    </xdr:to>
    <xdr:cxnSp macro="">
      <xdr:nvCxnSpPr>
        <xdr:cNvPr id="172548" name="自動進捗28">
          <a:extLst>
            <a:ext uri="{FF2B5EF4-FFF2-40B4-BE49-F238E27FC236}">
              <a16:creationId xmlns:a16="http://schemas.microsoft.com/office/drawing/2014/main" id="{1EC58636-0607-5FA3-6225-3E60FE701EEA}"/>
            </a:ext>
          </a:extLst>
        </xdr:cNvPr>
        <xdr:cNvCxnSpPr/>
      </xdr:nvCxnSpPr>
      <xdr:spPr bwMode="auto">
        <a:xfrm>
          <a:off x="1526857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51</xdr:col>
      <xdr:colOff>0</xdr:colOff>
      <xdr:row>28</xdr:row>
      <xdr:rowOff>233363</xdr:rowOff>
    </xdr:from>
    <xdr:to>
      <xdr:col>51</xdr:col>
      <xdr:colOff>0</xdr:colOff>
      <xdr:row>28</xdr:row>
      <xdr:rowOff>233363</xdr:rowOff>
    </xdr:to>
    <xdr:cxnSp macro="">
      <xdr:nvCxnSpPr>
        <xdr:cNvPr id="172550" name="自動進捗29">
          <a:extLst>
            <a:ext uri="{FF2B5EF4-FFF2-40B4-BE49-F238E27FC236}">
              <a16:creationId xmlns:a16="http://schemas.microsoft.com/office/drawing/2014/main" id="{AFFAF8CF-910F-EE50-BB59-C926521FE2AE}"/>
            </a:ext>
          </a:extLst>
        </xdr:cNvPr>
        <xdr:cNvCxnSpPr/>
      </xdr:nvCxnSpPr>
      <xdr:spPr bwMode="auto">
        <a:xfrm>
          <a:off x="16773525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49</xdr:col>
      <xdr:colOff>0</xdr:colOff>
      <xdr:row>29</xdr:row>
      <xdr:rowOff>233363</xdr:rowOff>
    </xdr:from>
    <xdr:to>
      <xdr:col>49</xdr:col>
      <xdr:colOff>0</xdr:colOff>
      <xdr:row>29</xdr:row>
      <xdr:rowOff>233363</xdr:rowOff>
    </xdr:to>
    <xdr:cxnSp macro="">
      <xdr:nvCxnSpPr>
        <xdr:cNvPr id="172552" name="自動進捗30">
          <a:extLst>
            <a:ext uri="{FF2B5EF4-FFF2-40B4-BE49-F238E27FC236}">
              <a16:creationId xmlns:a16="http://schemas.microsoft.com/office/drawing/2014/main" id="{4AB37BAC-6698-B945-81EA-B0655E4AECD9}"/>
            </a:ext>
          </a:extLst>
        </xdr:cNvPr>
        <xdr:cNvCxnSpPr/>
      </xdr:nvCxnSpPr>
      <xdr:spPr bwMode="auto">
        <a:xfrm>
          <a:off x="1640205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52</xdr:col>
      <xdr:colOff>0</xdr:colOff>
      <xdr:row>30</xdr:row>
      <xdr:rowOff>233363</xdr:rowOff>
    </xdr:from>
    <xdr:to>
      <xdr:col>52</xdr:col>
      <xdr:colOff>0</xdr:colOff>
      <xdr:row>30</xdr:row>
      <xdr:rowOff>233363</xdr:rowOff>
    </xdr:to>
    <xdr:cxnSp macro="">
      <xdr:nvCxnSpPr>
        <xdr:cNvPr id="172554" name="自動進捗31">
          <a:extLst>
            <a:ext uri="{FF2B5EF4-FFF2-40B4-BE49-F238E27FC236}">
              <a16:creationId xmlns:a16="http://schemas.microsoft.com/office/drawing/2014/main" id="{947E3EEF-22AC-A7ED-5175-F6E40E2E4B78}"/>
            </a:ext>
          </a:extLst>
        </xdr:cNvPr>
        <xdr:cNvCxnSpPr/>
      </xdr:nvCxnSpPr>
      <xdr:spPr bwMode="auto">
        <a:xfrm>
          <a:off x="16935450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56</xdr:col>
      <xdr:colOff>0</xdr:colOff>
      <xdr:row>31</xdr:row>
      <xdr:rowOff>233363</xdr:rowOff>
    </xdr:from>
    <xdr:to>
      <xdr:col>56</xdr:col>
      <xdr:colOff>0</xdr:colOff>
      <xdr:row>31</xdr:row>
      <xdr:rowOff>233363</xdr:rowOff>
    </xdr:to>
    <xdr:cxnSp macro="">
      <xdr:nvCxnSpPr>
        <xdr:cNvPr id="172556" name="自動進捗32">
          <a:extLst>
            <a:ext uri="{FF2B5EF4-FFF2-40B4-BE49-F238E27FC236}">
              <a16:creationId xmlns:a16="http://schemas.microsoft.com/office/drawing/2014/main" id="{568374AB-6595-8FD3-824A-A1C1B8A377F6}"/>
            </a:ext>
          </a:extLst>
        </xdr:cNvPr>
        <xdr:cNvCxnSpPr/>
      </xdr:nvCxnSpPr>
      <xdr:spPr bwMode="auto">
        <a:xfrm>
          <a:off x="1758315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32</xdr:row>
      <xdr:rowOff>233363</xdr:rowOff>
    </xdr:from>
    <xdr:to>
      <xdr:col>58</xdr:col>
      <xdr:colOff>0</xdr:colOff>
      <xdr:row>32</xdr:row>
      <xdr:rowOff>233363</xdr:rowOff>
    </xdr:to>
    <xdr:cxnSp macro="">
      <xdr:nvCxnSpPr>
        <xdr:cNvPr id="172558" name="自動進捗33">
          <a:extLst>
            <a:ext uri="{FF2B5EF4-FFF2-40B4-BE49-F238E27FC236}">
              <a16:creationId xmlns:a16="http://schemas.microsoft.com/office/drawing/2014/main" id="{370F3C78-7944-7F8F-0D84-26E2EBD3D889}"/>
            </a:ext>
          </a:extLst>
        </xdr:cNvPr>
        <xdr:cNvCxnSpPr/>
      </xdr:nvCxnSpPr>
      <xdr:spPr bwMode="auto">
        <a:xfrm>
          <a:off x="17907000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64</xdr:col>
      <xdr:colOff>0</xdr:colOff>
      <xdr:row>34</xdr:row>
      <xdr:rowOff>233363</xdr:rowOff>
    </xdr:from>
    <xdr:to>
      <xdr:col>64</xdr:col>
      <xdr:colOff>0</xdr:colOff>
      <xdr:row>34</xdr:row>
      <xdr:rowOff>233363</xdr:rowOff>
    </xdr:to>
    <xdr:cxnSp macro="">
      <xdr:nvCxnSpPr>
        <xdr:cNvPr id="172560" name="自動進捗35">
          <a:extLst>
            <a:ext uri="{FF2B5EF4-FFF2-40B4-BE49-F238E27FC236}">
              <a16:creationId xmlns:a16="http://schemas.microsoft.com/office/drawing/2014/main" id="{869DE11D-BB3D-8F2F-B056-9F930B2F88E2}"/>
            </a:ext>
          </a:extLst>
        </xdr:cNvPr>
        <xdr:cNvCxnSpPr/>
      </xdr:nvCxnSpPr>
      <xdr:spPr bwMode="auto">
        <a:xfrm>
          <a:off x="1887855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65</xdr:col>
      <xdr:colOff>0</xdr:colOff>
      <xdr:row>35</xdr:row>
      <xdr:rowOff>233363</xdr:rowOff>
    </xdr:from>
    <xdr:to>
      <xdr:col>65</xdr:col>
      <xdr:colOff>0</xdr:colOff>
      <xdr:row>35</xdr:row>
      <xdr:rowOff>233363</xdr:rowOff>
    </xdr:to>
    <xdr:cxnSp macro="">
      <xdr:nvCxnSpPr>
        <xdr:cNvPr id="172562" name="自動進捗36">
          <a:extLst>
            <a:ext uri="{FF2B5EF4-FFF2-40B4-BE49-F238E27FC236}">
              <a16:creationId xmlns:a16="http://schemas.microsoft.com/office/drawing/2014/main" id="{DBA9905C-2C0E-FC7A-D695-74DC729EF40A}"/>
            </a:ext>
          </a:extLst>
        </xdr:cNvPr>
        <xdr:cNvCxnSpPr/>
      </xdr:nvCxnSpPr>
      <xdr:spPr bwMode="auto">
        <a:xfrm>
          <a:off x="1904047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72</xdr:col>
      <xdr:colOff>0</xdr:colOff>
      <xdr:row>36</xdr:row>
      <xdr:rowOff>233363</xdr:rowOff>
    </xdr:from>
    <xdr:to>
      <xdr:col>72</xdr:col>
      <xdr:colOff>0</xdr:colOff>
      <xdr:row>36</xdr:row>
      <xdr:rowOff>233363</xdr:rowOff>
    </xdr:to>
    <xdr:cxnSp macro="">
      <xdr:nvCxnSpPr>
        <xdr:cNvPr id="172564" name="自動進捗37">
          <a:extLst>
            <a:ext uri="{FF2B5EF4-FFF2-40B4-BE49-F238E27FC236}">
              <a16:creationId xmlns:a16="http://schemas.microsoft.com/office/drawing/2014/main" id="{DC4A1B65-0EDD-C1E6-74E4-3F5B195CC14E}"/>
            </a:ext>
          </a:extLst>
        </xdr:cNvPr>
        <xdr:cNvCxnSpPr/>
      </xdr:nvCxnSpPr>
      <xdr:spPr bwMode="auto">
        <a:xfrm>
          <a:off x="20164425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77</xdr:col>
      <xdr:colOff>0</xdr:colOff>
      <xdr:row>37</xdr:row>
      <xdr:rowOff>233363</xdr:rowOff>
    </xdr:from>
    <xdr:to>
      <xdr:col>77</xdr:col>
      <xdr:colOff>0</xdr:colOff>
      <xdr:row>37</xdr:row>
      <xdr:rowOff>233363</xdr:rowOff>
    </xdr:to>
    <xdr:cxnSp macro="">
      <xdr:nvCxnSpPr>
        <xdr:cNvPr id="172566" name="自動進捗38">
          <a:extLst>
            <a:ext uri="{FF2B5EF4-FFF2-40B4-BE49-F238E27FC236}">
              <a16:creationId xmlns:a16="http://schemas.microsoft.com/office/drawing/2014/main" id="{DDEC1707-1CE3-961E-6329-9F1F4B81EAFF}"/>
            </a:ext>
          </a:extLst>
        </xdr:cNvPr>
        <xdr:cNvCxnSpPr/>
      </xdr:nvCxnSpPr>
      <xdr:spPr bwMode="auto">
        <a:xfrm>
          <a:off x="2097405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84</xdr:col>
      <xdr:colOff>0</xdr:colOff>
      <xdr:row>38</xdr:row>
      <xdr:rowOff>233363</xdr:rowOff>
    </xdr:from>
    <xdr:to>
      <xdr:col>84</xdr:col>
      <xdr:colOff>0</xdr:colOff>
      <xdr:row>38</xdr:row>
      <xdr:rowOff>233363</xdr:rowOff>
    </xdr:to>
    <xdr:cxnSp macro="">
      <xdr:nvCxnSpPr>
        <xdr:cNvPr id="172568" name="自動進捗39">
          <a:extLst>
            <a:ext uri="{FF2B5EF4-FFF2-40B4-BE49-F238E27FC236}">
              <a16:creationId xmlns:a16="http://schemas.microsoft.com/office/drawing/2014/main" id="{A9EFB5E3-AA5F-59C8-C83A-A9CB005BE300}"/>
            </a:ext>
          </a:extLst>
        </xdr:cNvPr>
        <xdr:cNvCxnSpPr/>
      </xdr:nvCxnSpPr>
      <xdr:spPr bwMode="auto">
        <a:xfrm>
          <a:off x="22107525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39</xdr:row>
      <xdr:rowOff>233363</xdr:rowOff>
    </xdr:from>
    <xdr:to>
      <xdr:col>92</xdr:col>
      <xdr:colOff>0</xdr:colOff>
      <xdr:row>39</xdr:row>
      <xdr:rowOff>233363</xdr:rowOff>
    </xdr:to>
    <xdr:cxnSp macro="">
      <xdr:nvCxnSpPr>
        <xdr:cNvPr id="172570" name="自動進捗40">
          <a:extLst>
            <a:ext uri="{FF2B5EF4-FFF2-40B4-BE49-F238E27FC236}">
              <a16:creationId xmlns:a16="http://schemas.microsoft.com/office/drawing/2014/main" id="{D8ABA52E-2E08-E22C-D24C-A0F0AC95D781}"/>
            </a:ext>
          </a:extLst>
        </xdr:cNvPr>
        <xdr:cNvCxnSpPr/>
      </xdr:nvCxnSpPr>
      <xdr:spPr bwMode="auto">
        <a:xfrm>
          <a:off x="2340292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98</xdr:col>
      <xdr:colOff>0</xdr:colOff>
      <xdr:row>40</xdr:row>
      <xdr:rowOff>233363</xdr:rowOff>
    </xdr:from>
    <xdr:to>
      <xdr:col>98</xdr:col>
      <xdr:colOff>0</xdr:colOff>
      <xdr:row>40</xdr:row>
      <xdr:rowOff>233363</xdr:rowOff>
    </xdr:to>
    <xdr:cxnSp macro="">
      <xdr:nvCxnSpPr>
        <xdr:cNvPr id="172572" name="自動進捗41">
          <a:extLst>
            <a:ext uri="{FF2B5EF4-FFF2-40B4-BE49-F238E27FC236}">
              <a16:creationId xmlns:a16="http://schemas.microsoft.com/office/drawing/2014/main" id="{A6875B18-61F3-0E61-4266-F5C0195AFE76}"/>
            </a:ext>
          </a:extLst>
        </xdr:cNvPr>
        <xdr:cNvCxnSpPr/>
      </xdr:nvCxnSpPr>
      <xdr:spPr bwMode="auto">
        <a:xfrm>
          <a:off x="243744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105</xdr:col>
      <xdr:colOff>0</xdr:colOff>
      <xdr:row>41</xdr:row>
      <xdr:rowOff>233363</xdr:rowOff>
    </xdr:from>
    <xdr:to>
      <xdr:col>105</xdr:col>
      <xdr:colOff>0</xdr:colOff>
      <xdr:row>41</xdr:row>
      <xdr:rowOff>233363</xdr:rowOff>
    </xdr:to>
    <xdr:cxnSp macro="">
      <xdr:nvCxnSpPr>
        <xdr:cNvPr id="172574" name="自動進捗42">
          <a:extLst>
            <a:ext uri="{FF2B5EF4-FFF2-40B4-BE49-F238E27FC236}">
              <a16:creationId xmlns:a16="http://schemas.microsoft.com/office/drawing/2014/main" id="{B3E41F08-DB40-5CA7-FB6D-BED1E4DF7386}"/>
            </a:ext>
          </a:extLst>
        </xdr:cNvPr>
        <xdr:cNvCxnSpPr/>
      </xdr:nvCxnSpPr>
      <xdr:spPr bwMode="auto">
        <a:xfrm>
          <a:off x="25507950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110</xdr:col>
      <xdr:colOff>0</xdr:colOff>
      <xdr:row>43</xdr:row>
      <xdr:rowOff>233363</xdr:rowOff>
    </xdr:from>
    <xdr:to>
      <xdr:col>110</xdr:col>
      <xdr:colOff>0</xdr:colOff>
      <xdr:row>43</xdr:row>
      <xdr:rowOff>233363</xdr:rowOff>
    </xdr:to>
    <xdr:cxnSp macro="">
      <xdr:nvCxnSpPr>
        <xdr:cNvPr id="172576" name="自動進捗44">
          <a:extLst>
            <a:ext uri="{FF2B5EF4-FFF2-40B4-BE49-F238E27FC236}">
              <a16:creationId xmlns:a16="http://schemas.microsoft.com/office/drawing/2014/main" id="{C0F46CCC-A917-0BAC-7F24-E9B5ABD32BB0}"/>
            </a:ext>
          </a:extLst>
        </xdr:cNvPr>
        <xdr:cNvCxnSpPr/>
      </xdr:nvCxnSpPr>
      <xdr:spPr bwMode="auto">
        <a:xfrm>
          <a:off x="26317575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126</xdr:col>
      <xdr:colOff>0</xdr:colOff>
      <xdr:row>45</xdr:row>
      <xdr:rowOff>233363</xdr:rowOff>
    </xdr:from>
    <xdr:to>
      <xdr:col>126</xdr:col>
      <xdr:colOff>0</xdr:colOff>
      <xdr:row>45</xdr:row>
      <xdr:rowOff>233363</xdr:rowOff>
    </xdr:to>
    <xdr:cxnSp macro="">
      <xdr:nvCxnSpPr>
        <xdr:cNvPr id="172578" name="自動進捗46">
          <a:extLst>
            <a:ext uri="{FF2B5EF4-FFF2-40B4-BE49-F238E27FC236}">
              <a16:creationId xmlns:a16="http://schemas.microsoft.com/office/drawing/2014/main" id="{850AC4AC-4A8B-94D5-81A7-8BFDFC3DF31A}"/>
            </a:ext>
          </a:extLst>
        </xdr:cNvPr>
        <xdr:cNvCxnSpPr/>
      </xdr:nvCxnSpPr>
      <xdr:spPr bwMode="auto">
        <a:xfrm>
          <a:off x="28908375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140</xdr:col>
      <xdr:colOff>0</xdr:colOff>
      <xdr:row>48</xdr:row>
      <xdr:rowOff>233363</xdr:rowOff>
    </xdr:from>
    <xdr:to>
      <xdr:col>140</xdr:col>
      <xdr:colOff>0</xdr:colOff>
      <xdr:row>48</xdr:row>
      <xdr:rowOff>233363</xdr:rowOff>
    </xdr:to>
    <xdr:cxnSp macro="">
      <xdr:nvCxnSpPr>
        <xdr:cNvPr id="172580" name="自動進捗49">
          <a:extLst>
            <a:ext uri="{FF2B5EF4-FFF2-40B4-BE49-F238E27FC236}">
              <a16:creationId xmlns:a16="http://schemas.microsoft.com/office/drawing/2014/main" id="{66B562C1-BF81-916E-56F4-D33C4A4ACB36}"/>
            </a:ext>
          </a:extLst>
        </xdr:cNvPr>
        <xdr:cNvCxnSpPr/>
      </xdr:nvCxnSpPr>
      <xdr:spPr bwMode="auto">
        <a:xfrm>
          <a:off x="3117532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110</xdr:col>
      <xdr:colOff>0</xdr:colOff>
      <xdr:row>49</xdr:row>
      <xdr:rowOff>233363</xdr:rowOff>
    </xdr:from>
    <xdr:to>
      <xdr:col>110</xdr:col>
      <xdr:colOff>0</xdr:colOff>
      <xdr:row>49</xdr:row>
      <xdr:rowOff>233363</xdr:rowOff>
    </xdr:to>
    <xdr:cxnSp macro="">
      <xdr:nvCxnSpPr>
        <xdr:cNvPr id="172582" name="自動進捗50">
          <a:extLst>
            <a:ext uri="{FF2B5EF4-FFF2-40B4-BE49-F238E27FC236}">
              <a16:creationId xmlns:a16="http://schemas.microsoft.com/office/drawing/2014/main" id="{899E5A5B-C004-458B-A475-A9B7CC13FE2A}"/>
            </a:ext>
          </a:extLst>
        </xdr:cNvPr>
        <xdr:cNvCxnSpPr/>
      </xdr:nvCxnSpPr>
      <xdr:spPr bwMode="auto">
        <a:xfrm>
          <a:off x="2631757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140</xdr:col>
      <xdr:colOff>0</xdr:colOff>
      <xdr:row>50</xdr:row>
      <xdr:rowOff>233363</xdr:rowOff>
    </xdr:from>
    <xdr:to>
      <xdr:col>140</xdr:col>
      <xdr:colOff>0</xdr:colOff>
      <xdr:row>50</xdr:row>
      <xdr:rowOff>233363</xdr:rowOff>
    </xdr:to>
    <xdr:cxnSp macro="">
      <xdr:nvCxnSpPr>
        <xdr:cNvPr id="172584" name="自動進捗51">
          <a:extLst>
            <a:ext uri="{FF2B5EF4-FFF2-40B4-BE49-F238E27FC236}">
              <a16:creationId xmlns:a16="http://schemas.microsoft.com/office/drawing/2014/main" id="{EF8218B8-3B1E-EF0D-0A4B-D2327664828A}"/>
            </a:ext>
          </a:extLst>
        </xdr:cNvPr>
        <xdr:cNvCxnSpPr/>
      </xdr:nvCxnSpPr>
      <xdr:spPr bwMode="auto">
        <a:xfrm>
          <a:off x="3117532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177</xdr:col>
      <xdr:colOff>0</xdr:colOff>
      <xdr:row>51</xdr:row>
      <xdr:rowOff>233363</xdr:rowOff>
    </xdr:from>
    <xdr:to>
      <xdr:col>177</xdr:col>
      <xdr:colOff>0</xdr:colOff>
      <xdr:row>51</xdr:row>
      <xdr:rowOff>233363</xdr:rowOff>
    </xdr:to>
    <xdr:cxnSp macro="">
      <xdr:nvCxnSpPr>
        <xdr:cNvPr id="172586" name="自動進捗52">
          <a:extLst>
            <a:ext uri="{FF2B5EF4-FFF2-40B4-BE49-F238E27FC236}">
              <a16:creationId xmlns:a16="http://schemas.microsoft.com/office/drawing/2014/main" id="{46962E62-AA9B-DEDF-8A87-48DFAEB2385F}"/>
            </a:ext>
          </a:extLst>
        </xdr:cNvPr>
        <xdr:cNvCxnSpPr/>
      </xdr:nvCxnSpPr>
      <xdr:spPr bwMode="auto">
        <a:xfrm>
          <a:off x="37299900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7"/>
  <sheetViews>
    <sheetView showGridLines="0" tabSelected="1" zoomScaleNormal="100" zoomScaleSheetLayoutView="100" workbookViewId="0">
      <pane xSplit="5" ySplit="5" topLeftCell="CG44" activePane="bottomRight" state="frozen"/>
      <selection pane="topRight" activeCell="F1" sqref="F1"/>
      <selection pane="bottomLeft" activeCell="A6" sqref="A6"/>
      <selection pane="bottomRight" sqref="A1:FO58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53" t="s">
        <v>23</v>
      </c>
      <c r="C1" s="254"/>
      <c r="D1" s="254"/>
      <c r="E1" s="254"/>
      <c r="F1" s="255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60" t="s">
        <v>2</v>
      </c>
      <c r="T1" s="261"/>
      <c r="U1" s="261"/>
      <c r="V1" s="261"/>
      <c r="W1" s="262"/>
      <c r="X1" s="244">
        <v>45870</v>
      </c>
      <c r="Y1" s="245"/>
      <c r="Z1" s="245"/>
      <c r="AA1" s="245"/>
      <c r="AB1" s="245"/>
      <c r="AC1" s="245"/>
      <c r="AD1" s="245"/>
      <c r="AE1" s="245"/>
      <c r="AF1" s="246" t="s">
        <v>3</v>
      </c>
      <c r="AG1" s="247"/>
      <c r="AH1" s="245">
        <v>46037</v>
      </c>
      <c r="AI1" s="245"/>
      <c r="AJ1" s="245"/>
      <c r="AK1" s="245"/>
      <c r="AL1" s="245"/>
      <c r="AM1" s="245"/>
      <c r="AN1" s="245"/>
      <c r="AO1" s="263"/>
      <c r="AP1" s="260" t="s">
        <v>4</v>
      </c>
      <c r="AQ1" s="261"/>
      <c r="AR1" s="261"/>
      <c r="AS1" s="261"/>
      <c r="AT1" s="262"/>
      <c r="AU1" s="251">
        <f ca="1">TODAY()</f>
        <v>45861</v>
      </c>
      <c r="AV1" s="252"/>
      <c r="AW1" s="252"/>
      <c r="AX1" s="252"/>
      <c r="AY1" s="252"/>
      <c r="AZ1" s="252"/>
      <c r="BA1" s="252"/>
      <c r="BB1" s="252"/>
      <c r="BC1" s="252"/>
      <c r="BD1" s="252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45870</v>
      </c>
      <c r="T2" s="11">
        <f t="shared" ref="T2:CE2" si="0">S2+1</f>
        <v>45871</v>
      </c>
      <c r="U2" s="11">
        <f t="shared" si="0"/>
        <v>45872</v>
      </c>
      <c r="V2" s="11">
        <f t="shared" si="0"/>
        <v>45873</v>
      </c>
      <c r="W2" s="11">
        <f t="shared" si="0"/>
        <v>45874</v>
      </c>
      <c r="X2" s="11">
        <f t="shared" si="0"/>
        <v>45875</v>
      </c>
      <c r="Y2" s="11">
        <f t="shared" si="0"/>
        <v>45876</v>
      </c>
      <c r="Z2" s="11">
        <f t="shared" si="0"/>
        <v>45877</v>
      </c>
      <c r="AA2" s="11">
        <f t="shared" si="0"/>
        <v>45878</v>
      </c>
      <c r="AB2" s="11">
        <f t="shared" si="0"/>
        <v>45879</v>
      </c>
      <c r="AC2" s="11">
        <f t="shared" si="0"/>
        <v>45880</v>
      </c>
      <c r="AD2" s="11">
        <f t="shared" si="0"/>
        <v>45881</v>
      </c>
      <c r="AE2" s="11">
        <f t="shared" si="0"/>
        <v>45882</v>
      </c>
      <c r="AF2" s="11">
        <f t="shared" si="0"/>
        <v>45883</v>
      </c>
      <c r="AG2" s="11">
        <f t="shared" si="0"/>
        <v>45884</v>
      </c>
      <c r="AH2" s="11">
        <f t="shared" si="0"/>
        <v>45885</v>
      </c>
      <c r="AI2" s="11">
        <f t="shared" si="0"/>
        <v>45886</v>
      </c>
      <c r="AJ2" s="11">
        <f t="shared" si="0"/>
        <v>45887</v>
      </c>
      <c r="AK2" s="11">
        <f t="shared" si="0"/>
        <v>45888</v>
      </c>
      <c r="AL2" s="11">
        <f t="shared" si="0"/>
        <v>45889</v>
      </c>
      <c r="AM2" s="11">
        <f t="shared" si="0"/>
        <v>45890</v>
      </c>
      <c r="AN2" s="11">
        <f t="shared" si="0"/>
        <v>45891</v>
      </c>
      <c r="AO2" s="11">
        <f t="shared" si="0"/>
        <v>45892</v>
      </c>
      <c r="AP2" s="11">
        <f t="shared" si="0"/>
        <v>45893</v>
      </c>
      <c r="AQ2" s="11">
        <f t="shared" si="0"/>
        <v>45894</v>
      </c>
      <c r="AR2" s="11">
        <f t="shared" si="0"/>
        <v>45895</v>
      </c>
      <c r="AS2" s="11">
        <f t="shared" si="0"/>
        <v>45896</v>
      </c>
      <c r="AT2" s="11">
        <f t="shared" si="0"/>
        <v>45897</v>
      </c>
      <c r="AU2" s="11">
        <f t="shared" si="0"/>
        <v>45898</v>
      </c>
      <c r="AV2" s="11">
        <f t="shared" si="0"/>
        <v>45899</v>
      </c>
      <c r="AW2" s="11">
        <f t="shared" si="0"/>
        <v>45900</v>
      </c>
      <c r="AX2" s="11">
        <f t="shared" si="0"/>
        <v>45901</v>
      </c>
      <c r="AY2" s="11">
        <f t="shared" si="0"/>
        <v>45902</v>
      </c>
      <c r="AZ2" s="11">
        <f t="shared" si="0"/>
        <v>45903</v>
      </c>
      <c r="BA2" s="11">
        <f t="shared" si="0"/>
        <v>45904</v>
      </c>
      <c r="BB2" s="11">
        <f t="shared" si="0"/>
        <v>45905</v>
      </c>
      <c r="BC2" s="11">
        <f t="shared" si="0"/>
        <v>45906</v>
      </c>
      <c r="BD2" s="11">
        <f t="shared" si="0"/>
        <v>45907</v>
      </c>
      <c r="BE2" s="11">
        <f t="shared" si="0"/>
        <v>45908</v>
      </c>
      <c r="BF2" s="11">
        <f t="shared" si="0"/>
        <v>45909</v>
      </c>
      <c r="BG2" s="11">
        <f t="shared" si="0"/>
        <v>45910</v>
      </c>
      <c r="BH2" s="11">
        <f t="shared" si="0"/>
        <v>45911</v>
      </c>
      <c r="BI2" s="11">
        <f t="shared" si="0"/>
        <v>45912</v>
      </c>
      <c r="BJ2" s="11">
        <f t="shared" si="0"/>
        <v>45913</v>
      </c>
      <c r="BK2" s="11">
        <f t="shared" si="0"/>
        <v>45914</v>
      </c>
      <c r="BL2" s="11">
        <f t="shared" si="0"/>
        <v>45915</v>
      </c>
      <c r="BM2" s="11">
        <f t="shared" si="0"/>
        <v>45916</v>
      </c>
      <c r="BN2" s="11">
        <f t="shared" si="0"/>
        <v>45917</v>
      </c>
      <c r="BO2" s="11">
        <f t="shared" si="0"/>
        <v>45918</v>
      </c>
      <c r="BP2" s="11">
        <f t="shared" si="0"/>
        <v>45919</v>
      </c>
      <c r="BQ2" s="11">
        <f t="shared" si="0"/>
        <v>45920</v>
      </c>
      <c r="BR2" s="11">
        <f t="shared" si="0"/>
        <v>45921</v>
      </c>
      <c r="BS2" s="11">
        <f t="shared" si="0"/>
        <v>45922</v>
      </c>
      <c r="BT2" s="11">
        <f t="shared" si="0"/>
        <v>45923</v>
      </c>
      <c r="BU2" s="11">
        <f t="shared" si="0"/>
        <v>45924</v>
      </c>
      <c r="BV2" s="11">
        <f t="shared" si="0"/>
        <v>45925</v>
      </c>
      <c r="BW2" s="11">
        <f t="shared" si="0"/>
        <v>45926</v>
      </c>
      <c r="BX2" s="11">
        <f t="shared" si="0"/>
        <v>45927</v>
      </c>
      <c r="BY2" s="11">
        <f t="shared" si="0"/>
        <v>45928</v>
      </c>
      <c r="BZ2" s="11">
        <f t="shared" si="0"/>
        <v>45929</v>
      </c>
      <c r="CA2" s="11">
        <f t="shared" si="0"/>
        <v>45930</v>
      </c>
      <c r="CB2" s="11">
        <f t="shared" si="0"/>
        <v>45931</v>
      </c>
      <c r="CC2" s="11">
        <f t="shared" si="0"/>
        <v>45932</v>
      </c>
      <c r="CD2" s="11">
        <f t="shared" si="0"/>
        <v>45933</v>
      </c>
      <c r="CE2" s="11">
        <f t="shared" si="0"/>
        <v>45934</v>
      </c>
      <c r="CF2" s="11">
        <f t="shared" ref="CF2:DF2" si="1">CE2+1</f>
        <v>45935</v>
      </c>
      <c r="CG2" s="11">
        <f t="shared" si="1"/>
        <v>45936</v>
      </c>
      <c r="CH2" s="11">
        <f t="shared" si="1"/>
        <v>45937</v>
      </c>
      <c r="CI2" s="11">
        <f t="shared" si="1"/>
        <v>45938</v>
      </c>
      <c r="CJ2" s="11">
        <f t="shared" si="1"/>
        <v>45939</v>
      </c>
      <c r="CK2" s="11">
        <f t="shared" si="1"/>
        <v>45940</v>
      </c>
      <c r="CL2" s="11">
        <f t="shared" si="1"/>
        <v>45941</v>
      </c>
      <c r="CM2" s="11">
        <f t="shared" si="1"/>
        <v>45942</v>
      </c>
      <c r="CN2" s="11">
        <f t="shared" si="1"/>
        <v>45943</v>
      </c>
      <c r="CO2" s="11">
        <f t="shared" si="1"/>
        <v>45944</v>
      </c>
      <c r="CP2" s="11">
        <f t="shared" si="1"/>
        <v>45945</v>
      </c>
      <c r="CQ2" s="11">
        <f t="shared" si="1"/>
        <v>45946</v>
      </c>
      <c r="CR2" s="11">
        <f t="shared" si="1"/>
        <v>45947</v>
      </c>
      <c r="CS2" s="11">
        <f t="shared" si="1"/>
        <v>45948</v>
      </c>
      <c r="CT2" s="11">
        <f t="shared" si="1"/>
        <v>45949</v>
      </c>
      <c r="CU2" s="11">
        <f t="shared" si="1"/>
        <v>45950</v>
      </c>
      <c r="CV2" s="11">
        <f t="shared" si="1"/>
        <v>45951</v>
      </c>
      <c r="CW2" s="11">
        <f t="shared" si="1"/>
        <v>45952</v>
      </c>
      <c r="CX2" s="11">
        <f t="shared" si="1"/>
        <v>45953</v>
      </c>
      <c r="CY2" s="11">
        <f t="shared" si="1"/>
        <v>45954</v>
      </c>
      <c r="CZ2" s="11">
        <f t="shared" si="1"/>
        <v>45955</v>
      </c>
      <c r="DA2" s="11">
        <f t="shared" si="1"/>
        <v>45956</v>
      </c>
      <c r="DB2" s="11">
        <f t="shared" si="1"/>
        <v>45957</v>
      </c>
      <c r="DC2" s="11">
        <f t="shared" si="1"/>
        <v>45958</v>
      </c>
      <c r="DD2" s="11">
        <f t="shared" si="1"/>
        <v>45959</v>
      </c>
      <c r="DE2" s="11">
        <f t="shared" si="1"/>
        <v>45960</v>
      </c>
      <c r="DF2" s="11">
        <f t="shared" si="1"/>
        <v>45961</v>
      </c>
      <c r="DG2" s="11">
        <f t="shared" ref="DG2:EL2" si="2">DF2+1</f>
        <v>45962</v>
      </c>
      <c r="DH2" s="11">
        <f t="shared" si="2"/>
        <v>45963</v>
      </c>
      <c r="DI2" s="11">
        <f t="shared" si="2"/>
        <v>45964</v>
      </c>
      <c r="DJ2" s="11">
        <f t="shared" si="2"/>
        <v>45965</v>
      </c>
      <c r="DK2" s="11">
        <f t="shared" si="2"/>
        <v>45966</v>
      </c>
      <c r="DL2" s="11">
        <f t="shared" si="2"/>
        <v>45967</v>
      </c>
      <c r="DM2" s="11">
        <f t="shared" si="2"/>
        <v>45968</v>
      </c>
      <c r="DN2" s="11">
        <f t="shared" si="2"/>
        <v>45969</v>
      </c>
      <c r="DO2" s="11">
        <f t="shared" si="2"/>
        <v>45970</v>
      </c>
      <c r="DP2" s="11">
        <f t="shared" si="2"/>
        <v>45971</v>
      </c>
      <c r="DQ2" s="11">
        <f t="shared" si="2"/>
        <v>45972</v>
      </c>
      <c r="DR2" s="11">
        <f t="shared" si="2"/>
        <v>45973</v>
      </c>
      <c r="DS2" s="11">
        <f t="shared" si="2"/>
        <v>45974</v>
      </c>
      <c r="DT2" s="11">
        <f t="shared" si="2"/>
        <v>45975</v>
      </c>
      <c r="DU2" s="11">
        <f t="shared" si="2"/>
        <v>45976</v>
      </c>
      <c r="DV2" s="11">
        <f t="shared" si="2"/>
        <v>45977</v>
      </c>
      <c r="DW2" s="11">
        <f t="shared" si="2"/>
        <v>45978</v>
      </c>
      <c r="DX2" s="11">
        <f t="shared" si="2"/>
        <v>45979</v>
      </c>
      <c r="DY2" s="11">
        <f t="shared" si="2"/>
        <v>45980</v>
      </c>
      <c r="DZ2" s="11">
        <f t="shared" si="2"/>
        <v>45981</v>
      </c>
      <c r="EA2" s="11">
        <f t="shared" si="2"/>
        <v>45982</v>
      </c>
      <c r="EB2" s="11">
        <f t="shared" si="2"/>
        <v>45983</v>
      </c>
      <c r="EC2" s="11">
        <f t="shared" si="2"/>
        <v>45984</v>
      </c>
      <c r="ED2" s="11">
        <f t="shared" si="2"/>
        <v>45985</v>
      </c>
      <c r="EE2" s="11">
        <f t="shared" si="2"/>
        <v>45986</v>
      </c>
      <c r="EF2" s="11">
        <f t="shared" si="2"/>
        <v>45987</v>
      </c>
      <c r="EG2" s="11">
        <f t="shared" si="2"/>
        <v>45988</v>
      </c>
      <c r="EH2" s="11">
        <f t="shared" si="2"/>
        <v>45989</v>
      </c>
      <c r="EI2" s="11">
        <f t="shared" si="2"/>
        <v>45990</v>
      </c>
      <c r="EJ2" s="11">
        <f t="shared" si="2"/>
        <v>45991</v>
      </c>
      <c r="EK2" s="11">
        <f t="shared" si="2"/>
        <v>45992</v>
      </c>
      <c r="EL2" s="11">
        <f t="shared" si="2"/>
        <v>45993</v>
      </c>
      <c r="EM2" s="11">
        <f t="shared" ref="EM2:FR2" si="3">EL2+1</f>
        <v>45994</v>
      </c>
      <c r="EN2" s="11">
        <f t="shared" si="3"/>
        <v>45995</v>
      </c>
      <c r="EO2" s="11">
        <f t="shared" si="3"/>
        <v>45996</v>
      </c>
      <c r="EP2" s="11">
        <f t="shared" si="3"/>
        <v>45997</v>
      </c>
      <c r="EQ2" s="11">
        <f t="shared" si="3"/>
        <v>45998</v>
      </c>
      <c r="ER2" s="11">
        <f t="shared" si="3"/>
        <v>45999</v>
      </c>
      <c r="ES2" s="11">
        <f t="shared" si="3"/>
        <v>46000</v>
      </c>
      <c r="ET2" s="11">
        <f t="shared" si="3"/>
        <v>46001</v>
      </c>
      <c r="EU2" s="11">
        <f t="shared" si="3"/>
        <v>46002</v>
      </c>
      <c r="EV2" s="11">
        <f t="shared" si="3"/>
        <v>46003</v>
      </c>
      <c r="EW2" s="11">
        <f t="shared" si="3"/>
        <v>46004</v>
      </c>
      <c r="EX2" s="11">
        <f t="shared" si="3"/>
        <v>46005</v>
      </c>
      <c r="EY2" s="11">
        <f t="shared" si="3"/>
        <v>46006</v>
      </c>
      <c r="EZ2" s="11">
        <f t="shared" si="3"/>
        <v>46007</v>
      </c>
      <c r="FA2" s="11">
        <f t="shared" si="3"/>
        <v>46008</v>
      </c>
      <c r="FB2" s="11">
        <f t="shared" si="3"/>
        <v>46009</v>
      </c>
      <c r="FC2" s="11">
        <f t="shared" si="3"/>
        <v>46010</v>
      </c>
      <c r="FD2" s="11">
        <f t="shared" si="3"/>
        <v>46011</v>
      </c>
      <c r="FE2" s="11">
        <f t="shared" si="3"/>
        <v>46012</v>
      </c>
      <c r="FF2" s="11">
        <f t="shared" si="3"/>
        <v>46013</v>
      </c>
      <c r="FG2" s="11">
        <f t="shared" si="3"/>
        <v>46014</v>
      </c>
      <c r="FH2" s="11">
        <f t="shared" si="3"/>
        <v>46015</v>
      </c>
      <c r="FI2" s="11">
        <f t="shared" si="3"/>
        <v>46016</v>
      </c>
      <c r="FJ2" s="11">
        <f t="shared" si="3"/>
        <v>46017</v>
      </c>
      <c r="FK2" s="11">
        <f t="shared" si="3"/>
        <v>46018</v>
      </c>
      <c r="FL2" s="11">
        <f t="shared" si="3"/>
        <v>46019</v>
      </c>
      <c r="FM2" s="11">
        <f t="shared" si="3"/>
        <v>46020</v>
      </c>
      <c r="FN2" s="11">
        <f t="shared" si="3"/>
        <v>46021</v>
      </c>
      <c r="FO2" s="11">
        <f t="shared" si="3"/>
        <v>46022</v>
      </c>
      <c r="FP2" s="11">
        <f t="shared" si="3"/>
        <v>46023</v>
      </c>
      <c r="FQ2" s="11">
        <f t="shared" si="3"/>
        <v>46024</v>
      </c>
      <c r="FR2" s="11">
        <f t="shared" si="3"/>
        <v>46025</v>
      </c>
      <c r="FS2" s="11">
        <f t="shared" ref="FS2:GX2" si="4">FR2+1</f>
        <v>46026</v>
      </c>
      <c r="FT2" s="11">
        <f t="shared" si="4"/>
        <v>46027</v>
      </c>
      <c r="FU2" s="11">
        <f t="shared" si="4"/>
        <v>46028</v>
      </c>
      <c r="FV2" s="11">
        <f t="shared" si="4"/>
        <v>46029</v>
      </c>
      <c r="FW2" s="11">
        <f t="shared" si="4"/>
        <v>46030</v>
      </c>
      <c r="FX2" s="11">
        <f t="shared" si="4"/>
        <v>46031</v>
      </c>
      <c r="FY2" s="11">
        <f t="shared" si="4"/>
        <v>46032</v>
      </c>
      <c r="FZ2" s="11">
        <f t="shared" si="4"/>
        <v>46033</v>
      </c>
      <c r="GA2" s="11">
        <f t="shared" si="4"/>
        <v>46034</v>
      </c>
      <c r="GB2" s="11">
        <f t="shared" si="4"/>
        <v>46035</v>
      </c>
      <c r="GC2" s="11">
        <f t="shared" si="4"/>
        <v>46036</v>
      </c>
      <c r="GD2" s="11">
        <f t="shared" si="4"/>
        <v>46037</v>
      </c>
      <c r="GE2" s="11">
        <f t="shared" si="4"/>
        <v>46038</v>
      </c>
      <c r="GF2" s="11">
        <f t="shared" si="4"/>
        <v>46039</v>
      </c>
      <c r="GG2" s="11">
        <f t="shared" si="4"/>
        <v>46040</v>
      </c>
      <c r="GH2" s="11">
        <f t="shared" si="4"/>
        <v>46041</v>
      </c>
      <c r="GI2" s="11">
        <f t="shared" si="4"/>
        <v>46042</v>
      </c>
      <c r="GJ2" s="11">
        <f t="shared" si="4"/>
        <v>46043</v>
      </c>
      <c r="GK2" s="11">
        <f t="shared" si="4"/>
        <v>46044</v>
      </c>
      <c r="GL2" s="11">
        <f t="shared" si="4"/>
        <v>46045</v>
      </c>
      <c r="GM2" s="11">
        <f t="shared" si="4"/>
        <v>46046</v>
      </c>
      <c r="GN2" s="11">
        <f t="shared" si="4"/>
        <v>46047</v>
      </c>
      <c r="GO2" s="11">
        <f t="shared" si="4"/>
        <v>46048</v>
      </c>
      <c r="GP2" s="11">
        <f t="shared" si="4"/>
        <v>46049</v>
      </c>
      <c r="GQ2" s="11">
        <f t="shared" si="4"/>
        <v>46050</v>
      </c>
      <c r="GR2" s="11">
        <f t="shared" si="4"/>
        <v>46051</v>
      </c>
      <c r="GS2" s="11">
        <f t="shared" si="4"/>
        <v>46052</v>
      </c>
      <c r="GT2" s="11">
        <f t="shared" si="4"/>
        <v>46053</v>
      </c>
      <c r="GU2" s="11">
        <f t="shared" si="4"/>
        <v>46054</v>
      </c>
      <c r="GV2" s="11">
        <f t="shared" si="4"/>
        <v>46055</v>
      </c>
      <c r="GW2" s="11">
        <f t="shared" si="4"/>
        <v>46056</v>
      </c>
      <c r="GX2" s="11">
        <f t="shared" si="4"/>
        <v>46057</v>
      </c>
      <c r="GY2" s="11">
        <f t="shared" ref="GY2:HV2" si="5">GX2+1</f>
        <v>46058</v>
      </c>
      <c r="GZ2" s="11">
        <f t="shared" si="5"/>
        <v>46059</v>
      </c>
      <c r="HA2" s="11">
        <f t="shared" si="5"/>
        <v>46060</v>
      </c>
      <c r="HB2" s="11">
        <f t="shared" si="5"/>
        <v>46061</v>
      </c>
      <c r="HC2" s="11">
        <f t="shared" si="5"/>
        <v>46062</v>
      </c>
      <c r="HD2" s="11">
        <f t="shared" si="5"/>
        <v>46063</v>
      </c>
      <c r="HE2" s="11">
        <f t="shared" si="5"/>
        <v>46064</v>
      </c>
      <c r="HF2" s="11">
        <f t="shared" si="5"/>
        <v>46065</v>
      </c>
      <c r="HG2" s="11">
        <f t="shared" si="5"/>
        <v>46066</v>
      </c>
      <c r="HH2" s="11">
        <f t="shared" si="5"/>
        <v>46067</v>
      </c>
      <c r="HI2" s="11">
        <f t="shared" si="5"/>
        <v>46068</v>
      </c>
      <c r="HJ2" s="11">
        <f t="shared" si="5"/>
        <v>46069</v>
      </c>
      <c r="HK2" s="11">
        <f t="shared" si="5"/>
        <v>46070</v>
      </c>
      <c r="HL2" s="11">
        <f t="shared" si="5"/>
        <v>46071</v>
      </c>
      <c r="HM2" s="11">
        <f t="shared" si="5"/>
        <v>46072</v>
      </c>
      <c r="HN2" s="11">
        <f t="shared" si="5"/>
        <v>46073</v>
      </c>
      <c r="HO2" s="11">
        <f t="shared" si="5"/>
        <v>46074</v>
      </c>
      <c r="HP2" s="11">
        <f t="shared" si="5"/>
        <v>46075</v>
      </c>
      <c r="HQ2" s="11">
        <f t="shared" si="5"/>
        <v>46076</v>
      </c>
      <c r="HR2" s="11">
        <f t="shared" si="5"/>
        <v>46077</v>
      </c>
      <c r="HS2" s="11">
        <f t="shared" si="5"/>
        <v>46078</v>
      </c>
      <c r="HT2" s="11">
        <f t="shared" si="5"/>
        <v>46079</v>
      </c>
      <c r="HU2" s="11">
        <f t="shared" si="5"/>
        <v>46080</v>
      </c>
      <c r="HV2" s="11">
        <f t="shared" si="5"/>
        <v>46081</v>
      </c>
    </row>
    <row r="3" spans="1:242" s="19" customFormat="1" ht="27.75" customHeight="1" thickTop="1" thickBot="1" x14ac:dyDescent="0.25">
      <c r="A3" s="13"/>
      <c r="B3" s="267"/>
      <c r="C3" s="268"/>
      <c r="D3" s="268"/>
      <c r="E3" s="268"/>
      <c r="F3" s="268"/>
      <c r="G3" s="100"/>
      <c r="H3" s="33"/>
      <c r="I3" s="34"/>
      <c r="J3" s="225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9" t="s">
        <v>17</v>
      </c>
      <c r="C4" s="131" t="s">
        <v>12</v>
      </c>
      <c r="D4" s="271" t="s">
        <v>13</v>
      </c>
      <c r="E4" s="271"/>
      <c r="F4" s="271" t="s">
        <v>16</v>
      </c>
      <c r="G4" s="271"/>
      <c r="H4" s="272" t="s">
        <v>18</v>
      </c>
      <c r="I4" s="273"/>
      <c r="J4" s="264" t="s">
        <v>22</v>
      </c>
      <c r="K4" s="265"/>
      <c r="L4" s="20"/>
      <c r="M4" s="256" t="s">
        <v>1</v>
      </c>
      <c r="N4" s="257"/>
      <c r="O4" s="258" t="s">
        <v>6</v>
      </c>
      <c r="P4" s="256" t="s">
        <v>0</v>
      </c>
      <c r="Q4" s="266"/>
      <c r="R4" s="21" t="s">
        <v>7</v>
      </c>
      <c r="S4" s="22">
        <f>S2</f>
        <v>45870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 t="str">
        <f t="shared" si="6"/>
        <v/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>
        <f t="shared" si="6"/>
        <v>45901</v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 t="str">
        <f t="shared" si="6"/>
        <v/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>
        <f t="shared" si="6"/>
        <v>45931</v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 t="str">
        <f t="shared" si="7"/>
        <v/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>
        <f t="shared" ref="DG4:EL4" si="8">IF(MONTH(DF2) = MONTH(DG2),"",IF($AH$1-DG$2&gt;=0,DG$2,""))</f>
        <v>45962</v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 t="str">
        <f t="shared" si="8"/>
        <v/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>
        <f t="shared" si="8"/>
        <v>45992</v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 t="str">
        <f t="shared" si="9"/>
        <v/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>
        <f t="shared" si="9"/>
        <v>46023</v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202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70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59"/>
      <c r="P5" s="25" t="s">
        <v>8</v>
      </c>
      <c r="Q5" s="26" t="s">
        <v>9</v>
      </c>
      <c r="R5" s="27"/>
      <c r="S5" s="28">
        <f t="shared" ref="S5:AH6" si="12">IF($AH$1-S$2&gt;=0,S$2,"")</f>
        <v>45870</v>
      </c>
      <c r="T5" s="29">
        <f t="shared" si="12"/>
        <v>45871</v>
      </c>
      <c r="U5" s="29">
        <f t="shared" si="12"/>
        <v>45872</v>
      </c>
      <c r="V5" s="29">
        <f t="shared" si="12"/>
        <v>45873</v>
      </c>
      <c r="W5" s="29">
        <f t="shared" si="12"/>
        <v>45874</v>
      </c>
      <c r="X5" s="29">
        <f t="shared" si="12"/>
        <v>45875</v>
      </c>
      <c r="Y5" s="29">
        <f t="shared" si="12"/>
        <v>45876</v>
      </c>
      <c r="Z5" s="29">
        <f t="shared" si="12"/>
        <v>45877</v>
      </c>
      <c r="AA5" s="29">
        <f t="shared" si="12"/>
        <v>45878</v>
      </c>
      <c r="AB5" s="29">
        <f t="shared" si="12"/>
        <v>45879</v>
      </c>
      <c r="AC5" s="29">
        <f t="shared" si="12"/>
        <v>45880</v>
      </c>
      <c r="AD5" s="29">
        <f t="shared" si="12"/>
        <v>45881</v>
      </c>
      <c r="AE5" s="29">
        <f t="shared" si="12"/>
        <v>45882</v>
      </c>
      <c r="AF5" s="29">
        <f t="shared" si="12"/>
        <v>45883</v>
      </c>
      <c r="AG5" s="29">
        <f t="shared" si="12"/>
        <v>45884</v>
      </c>
      <c r="AH5" s="29">
        <f t="shared" si="12"/>
        <v>45885</v>
      </c>
      <c r="AI5" s="29">
        <f t="shared" ref="AI5:CT6" si="13">IF($AH$1-AI$2&gt;=0,AI$2,"")</f>
        <v>45886</v>
      </c>
      <c r="AJ5" s="29">
        <f t="shared" si="13"/>
        <v>45887</v>
      </c>
      <c r="AK5" s="30">
        <f t="shared" si="13"/>
        <v>45888</v>
      </c>
      <c r="AL5" s="175">
        <f t="shared" si="13"/>
        <v>45889</v>
      </c>
      <c r="AM5" s="29">
        <f t="shared" si="13"/>
        <v>45890</v>
      </c>
      <c r="AN5" s="29">
        <f t="shared" si="13"/>
        <v>45891</v>
      </c>
      <c r="AO5" s="29">
        <f t="shared" si="13"/>
        <v>45892</v>
      </c>
      <c r="AP5" s="29">
        <f t="shared" si="13"/>
        <v>45893</v>
      </c>
      <c r="AQ5" s="29">
        <f t="shared" si="13"/>
        <v>45894</v>
      </c>
      <c r="AR5" s="29">
        <f t="shared" si="13"/>
        <v>45895</v>
      </c>
      <c r="AS5" s="29">
        <f t="shared" si="13"/>
        <v>45896</v>
      </c>
      <c r="AT5" s="29">
        <f t="shared" si="13"/>
        <v>45897</v>
      </c>
      <c r="AU5" s="29">
        <f t="shared" si="13"/>
        <v>45898</v>
      </c>
      <c r="AV5" s="29">
        <f t="shared" si="13"/>
        <v>45899</v>
      </c>
      <c r="AW5" s="30">
        <f t="shared" si="13"/>
        <v>45900</v>
      </c>
      <c r="AX5" s="31">
        <f t="shared" si="13"/>
        <v>45901</v>
      </c>
      <c r="AY5" s="29">
        <f t="shared" si="13"/>
        <v>45902</v>
      </c>
      <c r="AZ5" s="29">
        <f t="shared" si="13"/>
        <v>45903</v>
      </c>
      <c r="BA5" s="29">
        <f t="shared" si="13"/>
        <v>45904</v>
      </c>
      <c r="BB5" s="29">
        <f t="shared" si="13"/>
        <v>45905</v>
      </c>
      <c r="BC5" s="29">
        <f t="shared" si="13"/>
        <v>45906</v>
      </c>
      <c r="BD5" s="29">
        <f t="shared" si="13"/>
        <v>45907</v>
      </c>
      <c r="BE5" s="29">
        <f t="shared" si="13"/>
        <v>45908</v>
      </c>
      <c r="BF5" s="29">
        <f t="shared" si="13"/>
        <v>45909</v>
      </c>
      <c r="BG5" s="29">
        <f t="shared" si="13"/>
        <v>45910</v>
      </c>
      <c r="BH5" s="29">
        <f t="shared" si="13"/>
        <v>45911</v>
      </c>
      <c r="BI5" s="29">
        <f t="shared" si="13"/>
        <v>45912</v>
      </c>
      <c r="BJ5" s="29">
        <f t="shared" si="13"/>
        <v>45913</v>
      </c>
      <c r="BK5" s="29">
        <f t="shared" si="13"/>
        <v>45914</v>
      </c>
      <c r="BL5" s="239">
        <f t="shared" si="13"/>
        <v>45915</v>
      </c>
      <c r="BM5" s="29">
        <f t="shared" si="13"/>
        <v>45916</v>
      </c>
      <c r="BN5" s="29">
        <f t="shared" si="13"/>
        <v>45917</v>
      </c>
      <c r="BO5" s="30">
        <f t="shared" si="13"/>
        <v>45918</v>
      </c>
      <c r="BP5" s="175">
        <f t="shared" si="13"/>
        <v>45919</v>
      </c>
      <c r="BQ5" s="29">
        <f t="shared" si="13"/>
        <v>45920</v>
      </c>
      <c r="BR5" s="29">
        <f t="shared" si="13"/>
        <v>45921</v>
      </c>
      <c r="BS5" s="29">
        <f t="shared" si="13"/>
        <v>45922</v>
      </c>
      <c r="BT5" s="239">
        <f t="shared" si="13"/>
        <v>45923</v>
      </c>
      <c r="BU5" s="29">
        <f t="shared" si="13"/>
        <v>45924</v>
      </c>
      <c r="BV5" s="29">
        <f t="shared" si="13"/>
        <v>45925</v>
      </c>
      <c r="BW5" s="29">
        <f t="shared" si="13"/>
        <v>45926</v>
      </c>
      <c r="BX5" s="29">
        <f t="shared" si="13"/>
        <v>45927</v>
      </c>
      <c r="BY5" s="29">
        <f t="shared" si="13"/>
        <v>45928</v>
      </c>
      <c r="BZ5" s="29">
        <f t="shared" si="13"/>
        <v>45929</v>
      </c>
      <c r="CA5" s="30">
        <f t="shared" si="13"/>
        <v>45930</v>
      </c>
      <c r="CB5" s="31">
        <f t="shared" si="13"/>
        <v>45931</v>
      </c>
      <c r="CC5" s="29">
        <f t="shared" si="13"/>
        <v>45932</v>
      </c>
      <c r="CD5" s="29">
        <f t="shared" si="13"/>
        <v>45933</v>
      </c>
      <c r="CE5" s="29">
        <f t="shared" si="13"/>
        <v>45934</v>
      </c>
      <c r="CF5" s="29">
        <f t="shared" si="13"/>
        <v>45935</v>
      </c>
      <c r="CG5" s="29">
        <f t="shared" si="13"/>
        <v>45936</v>
      </c>
      <c r="CH5" s="29">
        <f t="shared" si="13"/>
        <v>45937</v>
      </c>
      <c r="CI5" s="29">
        <f t="shared" si="13"/>
        <v>45938</v>
      </c>
      <c r="CJ5" s="29">
        <f t="shared" si="13"/>
        <v>45939</v>
      </c>
      <c r="CK5" s="29">
        <f t="shared" si="13"/>
        <v>45940</v>
      </c>
      <c r="CL5" s="29">
        <f t="shared" si="13"/>
        <v>45941</v>
      </c>
      <c r="CM5" s="29">
        <f t="shared" si="13"/>
        <v>45942</v>
      </c>
      <c r="CN5" s="239">
        <f t="shared" si="13"/>
        <v>45943</v>
      </c>
      <c r="CO5" s="29">
        <f t="shared" si="13"/>
        <v>45944</v>
      </c>
      <c r="CP5" s="29">
        <f t="shared" si="13"/>
        <v>45945</v>
      </c>
      <c r="CQ5" s="29">
        <f t="shared" si="13"/>
        <v>45946</v>
      </c>
      <c r="CR5" s="29">
        <f t="shared" si="13"/>
        <v>45947</v>
      </c>
      <c r="CS5" s="29">
        <f t="shared" si="13"/>
        <v>45948</v>
      </c>
      <c r="CT5" s="30">
        <f t="shared" si="13"/>
        <v>45949</v>
      </c>
      <c r="CU5" s="175">
        <f t="shared" ref="CU5:EK6" si="14">IF($AH$1-CU$2&gt;=0,CU$2,"")</f>
        <v>45950</v>
      </c>
      <c r="CV5" s="29">
        <f t="shared" si="14"/>
        <v>45951</v>
      </c>
      <c r="CW5" s="29">
        <f t="shared" si="14"/>
        <v>45952</v>
      </c>
      <c r="CX5" s="29">
        <f t="shared" si="14"/>
        <v>45953</v>
      </c>
      <c r="CY5" s="29">
        <f t="shared" si="14"/>
        <v>45954</v>
      </c>
      <c r="CZ5" s="29">
        <f t="shared" si="14"/>
        <v>45955</v>
      </c>
      <c r="DA5" s="29">
        <f t="shared" si="14"/>
        <v>45956</v>
      </c>
      <c r="DB5" s="29">
        <f t="shared" si="14"/>
        <v>45957</v>
      </c>
      <c r="DC5" s="29">
        <f t="shared" si="14"/>
        <v>45958</v>
      </c>
      <c r="DD5" s="29">
        <f t="shared" si="14"/>
        <v>45959</v>
      </c>
      <c r="DE5" s="29">
        <f t="shared" si="14"/>
        <v>45960</v>
      </c>
      <c r="DF5" s="30">
        <f t="shared" si="14"/>
        <v>45961</v>
      </c>
      <c r="DG5" s="31">
        <f t="shared" si="14"/>
        <v>45962</v>
      </c>
      <c r="DH5" s="29">
        <f t="shared" si="14"/>
        <v>45963</v>
      </c>
      <c r="DI5" s="239">
        <f t="shared" si="14"/>
        <v>45964</v>
      </c>
      <c r="DJ5" s="29">
        <f t="shared" si="14"/>
        <v>45965</v>
      </c>
      <c r="DK5" s="29">
        <f t="shared" si="14"/>
        <v>45966</v>
      </c>
      <c r="DL5" s="29">
        <f t="shared" si="14"/>
        <v>45967</v>
      </c>
      <c r="DM5" s="29">
        <f t="shared" si="14"/>
        <v>45968</v>
      </c>
      <c r="DN5" s="29">
        <f t="shared" si="14"/>
        <v>45969</v>
      </c>
      <c r="DO5" s="29">
        <f t="shared" si="14"/>
        <v>45970</v>
      </c>
      <c r="DP5" s="29">
        <f t="shared" si="14"/>
        <v>45971</v>
      </c>
      <c r="DQ5" s="29">
        <f t="shared" si="14"/>
        <v>45972</v>
      </c>
      <c r="DR5" s="29">
        <f t="shared" si="14"/>
        <v>45973</v>
      </c>
      <c r="DS5" s="29">
        <f t="shared" si="14"/>
        <v>45974</v>
      </c>
      <c r="DT5" s="29">
        <f t="shared" si="14"/>
        <v>45975</v>
      </c>
      <c r="DU5" s="29">
        <f t="shared" si="14"/>
        <v>45976</v>
      </c>
      <c r="DV5" s="29">
        <f t="shared" si="14"/>
        <v>45977</v>
      </c>
      <c r="DW5" s="29">
        <f t="shared" si="14"/>
        <v>45978</v>
      </c>
      <c r="DX5" s="29">
        <f t="shared" si="14"/>
        <v>45979</v>
      </c>
      <c r="DY5" s="30">
        <f t="shared" si="14"/>
        <v>45980</v>
      </c>
      <c r="DZ5" s="175">
        <f t="shared" si="14"/>
        <v>45981</v>
      </c>
      <c r="EA5" s="29">
        <f t="shared" si="14"/>
        <v>45982</v>
      </c>
      <c r="EB5" s="29">
        <f t="shared" si="14"/>
        <v>45983</v>
      </c>
      <c r="EC5" s="29">
        <f t="shared" si="14"/>
        <v>45984</v>
      </c>
      <c r="ED5" s="239">
        <f t="shared" si="14"/>
        <v>45985</v>
      </c>
      <c r="EE5" s="29">
        <f t="shared" si="14"/>
        <v>45986</v>
      </c>
      <c r="EF5" s="29">
        <f t="shared" si="14"/>
        <v>45987</v>
      </c>
      <c r="EG5" s="29">
        <f t="shared" si="14"/>
        <v>45988</v>
      </c>
      <c r="EH5" s="29">
        <f t="shared" si="14"/>
        <v>45989</v>
      </c>
      <c r="EI5" s="29">
        <f t="shared" si="14"/>
        <v>45990</v>
      </c>
      <c r="EJ5" s="30">
        <f t="shared" si="14"/>
        <v>45991</v>
      </c>
      <c r="EK5" s="31">
        <f t="shared" si="14"/>
        <v>45992</v>
      </c>
      <c r="EL5" s="29">
        <f t="shared" ref="EL5:FP6" si="15">IF($AH$1-EL$2&gt;=0,EL$2,"")</f>
        <v>45993</v>
      </c>
      <c r="EM5" s="29">
        <f t="shared" si="15"/>
        <v>45994</v>
      </c>
      <c r="EN5" s="29">
        <f t="shared" si="15"/>
        <v>45995</v>
      </c>
      <c r="EO5" s="29">
        <f t="shared" si="15"/>
        <v>45996</v>
      </c>
      <c r="EP5" s="29">
        <f t="shared" si="15"/>
        <v>45997</v>
      </c>
      <c r="EQ5" s="29">
        <f t="shared" si="15"/>
        <v>45998</v>
      </c>
      <c r="ER5" s="29">
        <f t="shared" si="15"/>
        <v>45999</v>
      </c>
      <c r="ES5" s="29">
        <f t="shared" si="15"/>
        <v>46000</v>
      </c>
      <c r="ET5" s="29">
        <f t="shared" si="15"/>
        <v>46001</v>
      </c>
      <c r="EU5" s="29">
        <f t="shared" si="15"/>
        <v>46002</v>
      </c>
      <c r="EV5" s="29">
        <f t="shared" si="15"/>
        <v>46003</v>
      </c>
      <c r="EW5" s="29">
        <f t="shared" si="15"/>
        <v>46004</v>
      </c>
      <c r="EX5" s="29">
        <f t="shared" si="15"/>
        <v>46005</v>
      </c>
      <c r="EY5" s="29">
        <f t="shared" si="15"/>
        <v>46006</v>
      </c>
      <c r="EZ5" s="29">
        <f t="shared" si="15"/>
        <v>46007</v>
      </c>
      <c r="FA5" s="29">
        <f t="shared" si="15"/>
        <v>46008</v>
      </c>
      <c r="FB5" s="29">
        <f t="shared" si="15"/>
        <v>46009</v>
      </c>
      <c r="FC5" s="30">
        <f t="shared" si="15"/>
        <v>46010</v>
      </c>
      <c r="FD5" s="175">
        <f t="shared" si="15"/>
        <v>46011</v>
      </c>
      <c r="FE5" s="29">
        <f t="shared" si="15"/>
        <v>46012</v>
      </c>
      <c r="FF5" s="29">
        <f t="shared" si="15"/>
        <v>46013</v>
      </c>
      <c r="FG5" s="184">
        <f t="shared" si="15"/>
        <v>46014</v>
      </c>
      <c r="FH5" s="29">
        <f t="shared" si="15"/>
        <v>46015</v>
      </c>
      <c r="FI5" s="29">
        <f t="shared" si="15"/>
        <v>46016</v>
      </c>
      <c r="FJ5" s="29">
        <f t="shared" si="15"/>
        <v>46017</v>
      </c>
      <c r="FK5" s="29">
        <f t="shared" si="15"/>
        <v>46018</v>
      </c>
      <c r="FL5" s="29">
        <f t="shared" si="15"/>
        <v>46019</v>
      </c>
      <c r="FM5" s="29">
        <f t="shared" si="15"/>
        <v>46020</v>
      </c>
      <c r="FN5" s="184">
        <f t="shared" si="15"/>
        <v>46021</v>
      </c>
      <c r="FO5" s="190">
        <f>IF($AH$1-FO$2&gt;=0,FO$2,"")</f>
        <v>46022</v>
      </c>
      <c r="FP5" s="191">
        <f t="shared" si="15"/>
        <v>46023</v>
      </c>
      <c r="FQ5" s="184">
        <f t="shared" ref="FQ5:GT6" si="16">IF($AH$1-FQ$2&gt;=0,FQ$2,"")</f>
        <v>46024</v>
      </c>
      <c r="FR5" s="184">
        <f t="shared" si="16"/>
        <v>46025</v>
      </c>
      <c r="FS5" s="29">
        <f t="shared" si="16"/>
        <v>46026</v>
      </c>
      <c r="FT5" s="29">
        <f t="shared" si="16"/>
        <v>46027</v>
      </c>
      <c r="FU5" s="29">
        <f t="shared" si="16"/>
        <v>46028</v>
      </c>
      <c r="FV5" s="29">
        <f t="shared" si="16"/>
        <v>46029</v>
      </c>
      <c r="FW5" s="29">
        <f t="shared" si="16"/>
        <v>46030</v>
      </c>
      <c r="FX5" s="29">
        <f t="shared" si="16"/>
        <v>46031</v>
      </c>
      <c r="FY5" s="29">
        <f t="shared" si="16"/>
        <v>46032</v>
      </c>
      <c r="FZ5" s="29">
        <f t="shared" si="16"/>
        <v>46033</v>
      </c>
      <c r="GA5" s="29">
        <f t="shared" si="16"/>
        <v>46034</v>
      </c>
      <c r="GB5" s="184">
        <f t="shared" si="16"/>
        <v>46035</v>
      </c>
      <c r="GC5" s="29">
        <f t="shared" si="16"/>
        <v>46036</v>
      </c>
      <c r="GD5" s="29">
        <f t="shared" si="16"/>
        <v>46037</v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203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45870</v>
      </c>
      <c r="T6" s="104">
        <f t="shared" si="12"/>
        <v>45871</v>
      </c>
      <c r="U6" s="104">
        <f t="shared" si="12"/>
        <v>45872</v>
      </c>
      <c r="V6" s="104">
        <f t="shared" si="12"/>
        <v>45873</v>
      </c>
      <c r="W6" s="104">
        <f t="shared" si="12"/>
        <v>45874</v>
      </c>
      <c r="X6" s="104">
        <f t="shared" si="12"/>
        <v>45875</v>
      </c>
      <c r="Y6" s="104">
        <f t="shared" si="12"/>
        <v>45876</v>
      </c>
      <c r="Z6" s="104">
        <f t="shared" si="12"/>
        <v>45877</v>
      </c>
      <c r="AA6" s="104">
        <f t="shared" si="12"/>
        <v>45878</v>
      </c>
      <c r="AB6" s="104">
        <f t="shared" si="12"/>
        <v>45879</v>
      </c>
      <c r="AC6" s="104">
        <f t="shared" si="12"/>
        <v>45880</v>
      </c>
      <c r="AD6" s="104">
        <f t="shared" si="12"/>
        <v>45881</v>
      </c>
      <c r="AE6" s="104">
        <f t="shared" si="12"/>
        <v>45882</v>
      </c>
      <c r="AF6" s="104">
        <f t="shared" si="12"/>
        <v>45883</v>
      </c>
      <c r="AG6" s="104">
        <f t="shared" si="12"/>
        <v>45884</v>
      </c>
      <c r="AH6" s="104">
        <f t="shared" si="12"/>
        <v>45885</v>
      </c>
      <c r="AI6" s="104">
        <f t="shared" si="13"/>
        <v>45886</v>
      </c>
      <c r="AJ6" s="104">
        <f t="shared" si="13"/>
        <v>45887</v>
      </c>
      <c r="AK6" s="105">
        <f t="shared" si="13"/>
        <v>45888</v>
      </c>
      <c r="AL6" s="176">
        <f t="shared" si="13"/>
        <v>45889</v>
      </c>
      <c r="AM6" s="104">
        <f t="shared" si="13"/>
        <v>45890</v>
      </c>
      <c r="AN6" s="104">
        <f t="shared" si="13"/>
        <v>45891</v>
      </c>
      <c r="AO6" s="104">
        <f t="shared" si="13"/>
        <v>45892</v>
      </c>
      <c r="AP6" s="104">
        <f t="shared" si="13"/>
        <v>45893</v>
      </c>
      <c r="AQ6" s="104">
        <f t="shared" si="13"/>
        <v>45894</v>
      </c>
      <c r="AR6" s="104">
        <f t="shared" si="13"/>
        <v>45895</v>
      </c>
      <c r="AS6" s="104">
        <f t="shared" si="13"/>
        <v>45896</v>
      </c>
      <c r="AT6" s="104">
        <f t="shared" si="13"/>
        <v>45897</v>
      </c>
      <c r="AU6" s="104">
        <f t="shared" si="13"/>
        <v>45898</v>
      </c>
      <c r="AV6" s="104">
        <f t="shared" si="13"/>
        <v>45899</v>
      </c>
      <c r="AW6" s="105">
        <f t="shared" si="13"/>
        <v>45900</v>
      </c>
      <c r="AX6" s="106">
        <f t="shared" si="13"/>
        <v>45901</v>
      </c>
      <c r="AY6" s="104">
        <f t="shared" si="13"/>
        <v>45902</v>
      </c>
      <c r="AZ6" s="104">
        <f t="shared" si="13"/>
        <v>45903</v>
      </c>
      <c r="BA6" s="104">
        <f t="shared" si="13"/>
        <v>45904</v>
      </c>
      <c r="BB6" s="104">
        <f t="shared" si="13"/>
        <v>45905</v>
      </c>
      <c r="BC6" s="104">
        <f t="shared" si="13"/>
        <v>45906</v>
      </c>
      <c r="BD6" s="104">
        <f t="shared" si="13"/>
        <v>45907</v>
      </c>
      <c r="BE6" s="104">
        <f t="shared" si="13"/>
        <v>45908</v>
      </c>
      <c r="BF6" s="104">
        <f t="shared" si="13"/>
        <v>45909</v>
      </c>
      <c r="BG6" s="104">
        <f t="shared" si="13"/>
        <v>45910</v>
      </c>
      <c r="BH6" s="104">
        <f t="shared" si="13"/>
        <v>45911</v>
      </c>
      <c r="BI6" s="104">
        <f t="shared" si="13"/>
        <v>45912</v>
      </c>
      <c r="BJ6" s="104">
        <f t="shared" si="13"/>
        <v>45913</v>
      </c>
      <c r="BK6" s="104">
        <f t="shared" si="13"/>
        <v>45914</v>
      </c>
      <c r="BL6" s="240">
        <f t="shared" si="13"/>
        <v>45915</v>
      </c>
      <c r="BM6" s="104">
        <f t="shared" si="13"/>
        <v>45916</v>
      </c>
      <c r="BN6" s="104">
        <f t="shared" si="13"/>
        <v>45917</v>
      </c>
      <c r="BO6" s="105">
        <f t="shared" si="13"/>
        <v>45918</v>
      </c>
      <c r="BP6" s="176">
        <f t="shared" si="13"/>
        <v>45919</v>
      </c>
      <c r="BQ6" s="104">
        <f t="shared" si="13"/>
        <v>45920</v>
      </c>
      <c r="BR6" s="104">
        <f t="shared" si="13"/>
        <v>45921</v>
      </c>
      <c r="BS6" s="104">
        <f t="shared" si="13"/>
        <v>45922</v>
      </c>
      <c r="BT6" s="240">
        <f t="shared" si="13"/>
        <v>45923</v>
      </c>
      <c r="BU6" s="104">
        <f t="shared" si="13"/>
        <v>45924</v>
      </c>
      <c r="BV6" s="104">
        <f t="shared" si="13"/>
        <v>45925</v>
      </c>
      <c r="BW6" s="104">
        <f t="shared" si="13"/>
        <v>45926</v>
      </c>
      <c r="BX6" s="104">
        <f t="shared" si="13"/>
        <v>45927</v>
      </c>
      <c r="BY6" s="104">
        <f t="shared" si="13"/>
        <v>45928</v>
      </c>
      <c r="BZ6" s="104">
        <f t="shared" si="13"/>
        <v>45929</v>
      </c>
      <c r="CA6" s="105">
        <f t="shared" si="13"/>
        <v>45930</v>
      </c>
      <c r="CB6" s="106">
        <f t="shared" si="13"/>
        <v>45931</v>
      </c>
      <c r="CC6" s="104">
        <f t="shared" si="13"/>
        <v>45932</v>
      </c>
      <c r="CD6" s="104">
        <f t="shared" si="13"/>
        <v>45933</v>
      </c>
      <c r="CE6" s="104">
        <f t="shared" si="13"/>
        <v>45934</v>
      </c>
      <c r="CF6" s="104">
        <f t="shared" si="13"/>
        <v>45935</v>
      </c>
      <c r="CG6" s="104">
        <f t="shared" si="13"/>
        <v>45936</v>
      </c>
      <c r="CH6" s="104">
        <f t="shared" si="13"/>
        <v>45937</v>
      </c>
      <c r="CI6" s="104">
        <f t="shared" si="13"/>
        <v>45938</v>
      </c>
      <c r="CJ6" s="104">
        <f t="shared" si="13"/>
        <v>45939</v>
      </c>
      <c r="CK6" s="104">
        <f t="shared" si="13"/>
        <v>45940</v>
      </c>
      <c r="CL6" s="104">
        <f t="shared" si="13"/>
        <v>45941</v>
      </c>
      <c r="CM6" s="104">
        <f t="shared" si="13"/>
        <v>45942</v>
      </c>
      <c r="CN6" s="240">
        <f t="shared" si="13"/>
        <v>45943</v>
      </c>
      <c r="CO6" s="104">
        <f t="shared" si="13"/>
        <v>45944</v>
      </c>
      <c r="CP6" s="104">
        <f t="shared" si="13"/>
        <v>45945</v>
      </c>
      <c r="CQ6" s="104">
        <f t="shared" si="13"/>
        <v>45946</v>
      </c>
      <c r="CR6" s="104">
        <f t="shared" si="13"/>
        <v>45947</v>
      </c>
      <c r="CS6" s="104">
        <f t="shared" si="13"/>
        <v>45948</v>
      </c>
      <c r="CT6" s="105">
        <f t="shared" si="13"/>
        <v>45949</v>
      </c>
      <c r="CU6" s="176">
        <f t="shared" si="14"/>
        <v>45950</v>
      </c>
      <c r="CV6" s="104">
        <f t="shared" si="14"/>
        <v>45951</v>
      </c>
      <c r="CW6" s="104">
        <f t="shared" si="14"/>
        <v>45952</v>
      </c>
      <c r="CX6" s="104">
        <f t="shared" si="14"/>
        <v>45953</v>
      </c>
      <c r="CY6" s="104">
        <f t="shared" si="14"/>
        <v>45954</v>
      </c>
      <c r="CZ6" s="104">
        <f t="shared" si="14"/>
        <v>45955</v>
      </c>
      <c r="DA6" s="104">
        <f t="shared" si="14"/>
        <v>45956</v>
      </c>
      <c r="DB6" s="104">
        <f t="shared" si="14"/>
        <v>45957</v>
      </c>
      <c r="DC6" s="104">
        <f t="shared" si="14"/>
        <v>45958</v>
      </c>
      <c r="DD6" s="104">
        <f t="shared" si="14"/>
        <v>45959</v>
      </c>
      <c r="DE6" s="104">
        <f t="shared" si="14"/>
        <v>45960</v>
      </c>
      <c r="DF6" s="105">
        <f t="shared" si="14"/>
        <v>45961</v>
      </c>
      <c r="DG6" s="106">
        <f t="shared" si="14"/>
        <v>45962</v>
      </c>
      <c r="DH6" s="104">
        <f t="shared" si="14"/>
        <v>45963</v>
      </c>
      <c r="DI6" s="240">
        <f t="shared" si="14"/>
        <v>45964</v>
      </c>
      <c r="DJ6" s="104">
        <f t="shared" si="14"/>
        <v>45965</v>
      </c>
      <c r="DK6" s="104">
        <f t="shared" si="14"/>
        <v>45966</v>
      </c>
      <c r="DL6" s="104">
        <f t="shared" si="14"/>
        <v>45967</v>
      </c>
      <c r="DM6" s="104">
        <f t="shared" si="14"/>
        <v>45968</v>
      </c>
      <c r="DN6" s="104">
        <f t="shared" si="14"/>
        <v>45969</v>
      </c>
      <c r="DO6" s="104">
        <f t="shared" si="14"/>
        <v>45970</v>
      </c>
      <c r="DP6" s="104">
        <f t="shared" si="14"/>
        <v>45971</v>
      </c>
      <c r="DQ6" s="104">
        <f t="shared" si="14"/>
        <v>45972</v>
      </c>
      <c r="DR6" s="104">
        <f t="shared" si="14"/>
        <v>45973</v>
      </c>
      <c r="DS6" s="104">
        <f t="shared" si="14"/>
        <v>45974</v>
      </c>
      <c r="DT6" s="104">
        <f t="shared" si="14"/>
        <v>45975</v>
      </c>
      <c r="DU6" s="104">
        <f t="shared" si="14"/>
        <v>45976</v>
      </c>
      <c r="DV6" s="104">
        <f t="shared" si="14"/>
        <v>45977</v>
      </c>
      <c r="DW6" s="104">
        <f t="shared" si="14"/>
        <v>45978</v>
      </c>
      <c r="DX6" s="104">
        <f t="shared" si="14"/>
        <v>45979</v>
      </c>
      <c r="DY6" s="105">
        <f t="shared" si="14"/>
        <v>45980</v>
      </c>
      <c r="DZ6" s="176">
        <f t="shared" si="14"/>
        <v>45981</v>
      </c>
      <c r="EA6" s="104">
        <f t="shared" si="14"/>
        <v>45982</v>
      </c>
      <c r="EB6" s="104">
        <f t="shared" si="14"/>
        <v>45983</v>
      </c>
      <c r="EC6" s="104">
        <f t="shared" si="14"/>
        <v>45984</v>
      </c>
      <c r="ED6" s="240">
        <f t="shared" si="14"/>
        <v>45985</v>
      </c>
      <c r="EE6" s="104">
        <f t="shared" si="14"/>
        <v>45986</v>
      </c>
      <c r="EF6" s="104">
        <f t="shared" si="14"/>
        <v>45987</v>
      </c>
      <c r="EG6" s="104">
        <f t="shared" si="14"/>
        <v>45988</v>
      </c>
      <c r="EH6" s="104">
        <f t="shared" si="14"/>
        <v>45989</v>
      </c>
      <c r="EI6" s="104">
        <f t="shared" si="14"/>
        <v>45990</v>
      </c>
      <c r="EJ6" s="105">
        <f t="shared" si="14"/>
        <v>45991</v>
      </c>
      <c r="EK6" s="106">
        <f t="shared" ref="EK6:FO6" si="19">IF($AH$1-EK$2&gt;=0,EK$2,"")</f>
        <v>45992</v>
      </c>
      <c r="EL6" s="104">
        <f t="shared" si="19"/>
        <v>45993</v>
      </c>
      <c r="EM6" s="104">
        <f t="shared" si="19"/>
        <v>45994</v>
      </c>
      <c r="EN6" s="104">
        <f t="shared" si="19"/>
        <v>45995</v>
      </c>
      <c r="EO6" s="104">
        <f t="shared" si="19"/>
        <v>45996</v>
      </c>
      <c r="EP6" s="104">
        <f t="shared" si="19"/>
        <v>45997</v>
      </c>
      <c r="EQ6" s="104">
        <f t="shared" si="19"/>
        <v>45998</v>
      </c>
      <c r="ER6" s="104">
        <f t="shared" si="19"/>
        <v>45999</v>
      </c>
      <c r="ES6" s="104">
        <f t="shared" si="19"/>
        <v>46000</v>
      </c>
      <c r="ET6" s="104">
        <f t="shared" si="19"/>
        <v>46001</v>
      </c>
      <c r="EU6" s="104">
        <f t="shared" si="19"/>
        <v>46002</v>
      </c>
      <c r="EV6" s="104">
        <f t="shared" si="19"/>
        <v>46003</v>
      </c>
      <c r="EW6" s="104">
        <f t="shared" si="19"/>
        <v>46004</v>
      </c>
      <c r="EX6" s="104">
        <f t="shared" si="19"/>
        <v>46005</v>
      </c>
      <c r="EY6" s="104">
        <f t="shared" si="19"/>
        <v>46006</v>
      </c>
      <c r="EZ6" s="104">
        <f t="shared" si="19"/>
        <v>46007</v>
      </c>
      <c r="FA6" s="104">
        <f t="shared" si="19"/>
        <v>46008</v>
      </c>
      <c r="FB6" s="104">
        <f t="shared" si="19"/>
        <v>46009</v>
      </c>
      <c r="FC6" s="105">
        <f t="shared" si="19"/>
        <v>46010</v>
      </c>
      <c r="FD6" s="176">
        <f t="shared" si="19"/>
        <v>46011</v>
      </c>
      <c r="FE6" s="104">
        <f t="shared" si="19"/>
        <v>46012</v>
      </c>
      <c r="FF6" s="104">
        <f t="shared" si="19"/>
        <v>46013</v>
      </c>
      <c r="FG6" s="185">
        <f t="shared" si="19"/>
        <v>46014</v>
      </c>
      <c r="FH6" s="104">
        <f t="shared" si="19"/>
        <v>46015</v>
      </c>
      <c r="FI6" s="104">
        <f t="shared" si="19"/>
        <v>46016</v>
      </c>
      <c r="FJ6" s="104">
        <f t="shared" si="19"/>
        <v>46017</v>
      </c>
      <c r="FK6" s="104">
        <f t="shared" si="19"/>
        <v>46018</v>
      </c>
      <c r="FL6" s="104">
        <f t="shared" si="19"/>
        <v>46019</v>
      </c>
      <c r="FM6" s="104">
        <f t="shared" si="19"/>
        <v>46020</v>
      </c>
      <c r="FN6" s="185">
        <f t="shared" si="19"/>
        <v>46021</v>
      </c>
      <c r="FO6" s="192">
        <f t="shared" si="19"/>
        <v>46022</v>
      </c>
      <c r="FP6" s="193">
        <f t="shared" si="15"/>
        <v>46023</v>
      </c>
      <c r="FQ6" s="185">
        <f t="shared" si="16"/>
        <v>46024</v>
      </c>
      <c r="FR6" s="185">
        <f t="shared" si="16"/>
        <v>46025</v>
      </c>
      <c r="FS6" s="104">
        <f t="shared" si="16"/>
        <v>46026</v>
      </c>
      <c r="FT6" s="104">
        <f t="shared" si="16"/>
        <v>46027</v>
      </c>
      <c r="FU6" s="104">
        <f t="shared" si="16"/>
        <v>46028</v>
      </c>
      <c r="FV6" s="104">
        <f t="shared" si="16"/>
        <v>46029</v>
      </c>
      <c r="FW6" s="104">
        <f t="shared" si="16"/>
        <v>46030</v>
      </c>
      <c r="FX6" s="104">
        <f t="shared" si="16"/>
        <v>46031</v>
      </c>
      <c r="FY6" s="104">
        <f t="shared" si="16"/>
        <v>46032</v>
      </c>
      <c r="FZ6" s="104">
        <f t="shared" si="16"/>
        <v>46033</v>
      </c>
      <c r="GA6" s="104">
        <f t="shared" si="16"/>
        <v>46034</v>
      </c>
      <c r="GB6" s="185">
        <f t="shared" si="16"/>
        <v>46035</v>
      </c>
      <c r="GC6" s="104">
        <f t="shared" si="16"/>
        <v>46036</v>
      </c>
      <c r="GD6" s="104">
        <f t="shared" si="16"/>
        <v>46037</v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204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8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42"/>
      <c r="FK7" s="42"/>
      <c r="FL7" s="42"/>
      <c r="FM7" s="46"/>
      <c r="FN7" s="188"/>
      <c r="FO7" s="194"/>
      <c r="FP7" s="195"/>
      <c r="FQ7" s="188"/>
      <c r="FR7" s="188"/>
      <c r="FS7" s="42"/>
      <c r="FT7" s="42"/>
      <c r="FU7" s="42"/>
      <c r="FV7" s="42"/>
      <c r="FW7" s="42"/>
      <c r="FX7" s="42"/>
      <c r="FY7" s="42"/>
      <c r="FZ7" s="42"/>
      <c r="GA7" s="42"/>
      <c r="GB7" s="188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205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48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249"/>
      <c r="AX8" s="249"/>
      <c r="AY8" s="249"/>
      <c r="AZ8" s="249"/>
      <c r="BA8" s="249"/>
      <c r="BB8" s="249"/>
      <c r="BC8" s="249"/>
      <c r="BD8" s="249"/>
      <c r="BE8" s="249"/>
      <c r="BF8" s="249"/>
      <c r="BG8" s="249"/>
      <c r="BH8" s="249"/>
      <c r="BI8" s="249"/>
      <c r="BJ8" s="249"/>
      <c r="BK8" s="249"/>
      <c r="BL8" s="249"/>
      <c r="BM8" s="249"/>
      <c r="BN8" s="249"/>
      <c r="BO8" s="249"/>
      <c r="BP8" s="250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9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56"/>
      <c r="FK8" s="56"/>
      <c r="FL8" s="56"/>
      <c r="FM8" s="56"/>
      <c r="FN8" s="189"/>
      <c r="FO8" s="189"/>
      <c r="FP8" s="196"/>
      <c r="FQ8" s="189"/>
      <c r="FR8" s="189"/>
      <c r="FS8" s="56"/>
      <c r="FT8" s="56"/>
      <c r="FU8" s="56"/>
      <c r="FV8" s="56"/>
      <c r="FW8" s="56"/>
      <c r="FX8" s="56"/>
      <c r="FY8" s="56"/>
      <c r="FZ8" s="56"/>
      <c r="GA8" s="56"/>
      <c r="GB8" s="189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20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6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72"/>
      <c r="FK9" s="72"/>
      <c r="FL9" s="72"/>
      <c r="FM9" s="72"/>
      <c r="FN9" s="186"/>
      <c r="FO9" s="197"/>
      <c r="FP9" s="198"/>
      <c r="FQ9" s="186"/>
      <c r="FR9" s="186"/>
      <c r="FS9" s="72"/>
      <c r="FT9" s="72"/>
      <c r="FU9" s="72"/>
      <c r="FV9" s="72"/>
      <c r="FW9" s="72"/>
      <c r="FX9" s="72"/>
      <c r="FY9" s="72"/>
      <c r="FZ9" s="72"/>
      <c r="GA9" s="72"/>
      <c r="GB9" s="186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207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24"/>
      <c r="B10" s="76">
        <f t="shared" ref="B10:B54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45</v>
      </c>
      <c r="K10" s="77" t="s">
        <v>45</v>
      </c>
      <c r="L10" s="77"/>
      <c r="M10" s="78"/>
      <c r="N10" s="91"/>
      <c r="O10" s="86">
        <v>0</v>
      </c>
      <c r="P10" s="78">
        <v>45875</v>
      </c>
      <c r="Q10" s="78">
        <v>45875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41"/>
      <c r="BM10" s="82"/>
      <c r="BN10" s="82"/>
      <c r="BO10" s="83"/>
      <c r="BP10" s="82"/>
      <c r="BQ10" s="82"/>
      <c r="BR10" s="82"/>
      <c r="BS10" s="82"/>
      <c r="BT10" s="241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41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41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41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6"/>
      <c r="FH10" s="82"/>
      <c r="FI10" s="82"/>
      <c r="FJ10" s="82"/>
      <c r="FK10" s="82"/>
      <c r="FL10" s="82"/>
      <c r="FM10" s="82"/>
      <c r="FN10" s="186"/>
      <c r="FO10" s="199"/>
      <c r="FP10" s="198"/>
      <c r="FQ10" s="186"/>
      <c r="FR10" s="186"/>
      <c r="FS10" s="82"/>
      <c r="FT10" s="82"/>
      <c r="FU10" s="82"/>
      <c r="FV10" s="82"/>
      <c r="FW10" s="82"/>
      <c r="FX10" s="82"/>
      <c r="FY10" s="82"/>
      <c r="FZ10" s="82"/>
      <c r="GA10" s="82"/>
      <c r="GB10" s="186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208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24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/>
      <c r="N11" s="91"/>
      <c r="O11" s="86">
        <v>0</v>
      </c>
      <c r="P11" s="78">
        <v>45870</v>
      </c>
      <c r="Q11" s="91">
        <v>45870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41"/>
      <c r="BM11" s="82"/>
      <c r="BN11" s="82"/>
      <c r="BO11" s="83"/>
      <c r="BP11" s="82"/>
      <c r="BQ11" s="82"/>
      <c r="BR11" s="82"/>
      <c r="BS11" s="82"/>
      <c r="BT11" s="241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41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41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41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6"/>
      <c r="FH11" s="82"/>
      <c r="FI11" s="82"/>
      <c r="FJ11" s="82"/>
      <c r="FK11" s="82"/>
      <c r="FL11" s="82"/>
      <c r="FM11" s="82"/>
      <c r="FN11" s="186"/>
      <c r="FO11" s="199"/>
      <c r="FP11" s="198"/>
      <c r="FQ11" s="186"/>
      <c r="FR11" s="186"/>
      <c r="FS11" s="82"/>
      <c r="FT11" s="82"/>
      <c r="FU11" s="82"/>
      <c r="FV11" s="82"/>
      <c r="FW11" s="82"/>
      <c r="FX11" s="82"/>
      <c r="FY11" s="82"/>
      <c r="FZ11" s="82"/>
      <c r="GA11" s="82"/>
      <c r="GB11" s="186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208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19" customFormat="1" ht="30" customHeight="1" x14ac:dyDescent="0.15">
      <c r="A12" s="221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/>
      <c r="N12" s="91"/>
      <c r="O12" s="86">
        <v>0</v>
      </c>
      <c r="P12" s="78">
        <v>45873</v>
      </c>
      <c r="Q12" s="91">
        <v>45873</v>
      </c>
      <c r="R12" s="210"/>
      <c r="S12" s="211"/>
      <c r="T12" s="212"/>
      <c r="U12" s="212"/>
      <c r="V12" s="212"/>
      <c r="W12" s="212"/>
      <c r="X12" s="212"/>
      <c r="Y12" s="213"/>
      <c r="Z12" s="213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3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3"/>
      <c r="AX12" s="214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42"/>
      <c r="BM12" s="212"/>
      <c r="BN12" s="212"/>
      <c r="BO12" s="213"/>
      <c r="BP12" s="212"/>
      <c r="BQ12" s="212"/>
      <c r="BR12" s="212"/>
      <c r="BS12" s="212"/>
      <c r="BT12" s="242"/>
      <c r="BU12" s="212"/>
      <c r="BV12" s="212"/>
      <c r="BW12" s="212"/>
      <c r="BX12" s="212"/>
      <c r="BY12" s="212"/>
      <c r="BZ12" s="212"/>
      <c r="CA12" s="213"/>
      <c r="CB12" s="214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42"/>
      <c r="CO12" s="212"/>
      <c r="CP12" s="212"/>
      <c r="CQ12" s="212"/>
      <c r="CR12" s="212"/>
      <c r="CS12" s="212"/>
      <c r="CT12" s="213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3"/>
      <c r="DG12" s="214"/>
      <c r="DH12" s="212"/>
      <c r="DI12" s="242"/>
      <c r="DJ12" s="212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212"/>
      <c r="DW12" s="212"/>
      <c r="DX12" s="212"/>
      <c r="DY12" s="213"/>
      <c r="DZ12" s="212"/>
      <c r="EA12" s="212"/>
      <c r="EB12" s="212"/>
      <c r="EC12" s="212"/>
      <c r="ED12" s="242"/>
      <c r="EE12" s="212"/>
      <c r="EF12" s="212"/>
      <c r="EG12" s="212"/>
      <c r="EH12" s="212"/>
      <c r="EI12" s="212"/>
      <c r="EJ12" s="213"/>
      <c r="EK12" s="214"/>
      <c r="EL12" s="212"/>
      <c r="EM12" s="212"/>
      <c r="EN12" s="212"/>
      <c r="EO12" s="212"/>
      <c r="EP12" s="212"/>
      <c r="EQ12" s="212"/>
      <c r="ER12" s="212"/>
      <c r="ES12" s="212"/>
      <c r="ET12" s="212"/>
      <c r="EU12" s="212"/>
      <c r="EV12" s="212"/>
      <c r="EW12" s="212"/>
      <c r="EX12" s="212"/>
      <c r="EY12" s="212"/>
      <c r="EZ12" s="212"/>
      <c r="FA12" s="212"/>
      <c r="FB12" s="212"/>
      <c r="FC12" s="213"/>
      <c r="FD12" s="212"/>
      <c r="FE12" s="212"/>
      <c r="FF12" s="212"/>
      <c r="FG12" s="215"/>
      <c r="FH12" s="212"/>
      <c r="FI12" s="212"/>
      <c r="FJ12" s="212"/>
      <c r="FK12" s="212"/>
      <c r="FL12" s="212"/>
      <c r="FM12" s="212"/>
      <c r="FN12" s="215"/>
      <c r="FO12" s="216"/>
      <c r="FP12" s="217"/>
      <c r="FQ12" s="215"/>
      <c r="FR12" s="215"/>
      <c r="FS12" s="212"/>
      <c r="FT12" s="212"/>
      <c r="FU12" s="212"/>
      <c r="FV12" s="212"/>
      <c r="FW12" s="212"/>
      <c r="FX12" s="212"/>
      <c r="FY12" s="212"/>
      <c r="FZ12" s="212"/>
      <c r="GA12" s="212"/>
      <c r="GB12" s="215"/>
      <c r="GC12" s="212"/>
      <c r="GD12" s="212"/>
      <c r="GE12" s="212"/>
      <c r="GF12" s="212"/>
      <c r="GG12" s="213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3"/>
      <c r="GU12" s="218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3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</row>
    <row r="13" spans="1:242" s="219" customFormat="1" ht="30" customHeight="1" x14ac:dyDescent="0.15">
      <c r="A13" s="223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/>
      <c r="N13" s="91"/>
      <c r="O13" s="86">
        <v>0</v>
      </c>
      <c r="P13" s="78">
        <v>45873</v>
      </c>
      <c r="Q13" s="91">
        <v>45874</v>
      </c>
      <c r="R13" s="210"/>
      <c r="S13" s="211"/>
      <c r="T13" s="212"/>
      <c r="U13" s="212"/>
      <c r="V13" s="212"/>
      <c r="W13" s="212"/>
      <c r="X13" s="212"/>
      <c r="Y13" s="213"/>
      <c r="Z13" s="213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3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3"/>
      <c r="AX13" s="214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42"/>
      <c r="BM13" s="212"/>
      <c r="BN13" s="212"/>
      <c r="BO13" s="213"/>
      <c r="BP13" s="212"/>
      <c r="BQ13" s="212"/>
      <c r="BR13" s="212"/>
      <c r="BS13" s="212"/>
      <c r="BT13" s="242"/>
      <c r="BU13" s="212"/>
      <c r="BV13" s="212"/>
      <c r="BW13" s="212"/>
      <c r="BX13" s="212"/>
      <c r="BY13" s="212"/>
      <c r="BZ13" s="212"/>
      <c r="CA13" s="213"/>
      <c r="CB13" s="214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42"/>
      <c r="CO13" s="212"/>
      <c r="CP13" s="212"/>
      <c r="CQ13" s="212"/>
      <c r="CR13" s="212"/>
      <c r="CS13" s="212"/>
      <c r="CT13" s="213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3"/>
      <c r="DG13" s="214"/>
      <c r="DH13" s="212"/>
      <c r="DI13" s="242"/>
      <c r="DJ13" s="212"/>
      <c r="DK13" s="212"/>
      <c r="DL13" s="212"/>
      <c r="DM13" s="212"/>
      <c r="DN13" s="212"/>
      <c r="DO13" s="212"/>
      <c r="DP13" s="212"/>
      <c r="DQ13" s="212"/>
      <c r="DR13" s="212"/>
      <c r="DS13" s="212"/>
      <c r="DT13" s="212"/>
      <c r="DU13" s="212"/>
      <c r="DV13" s="212"/>
      <c r="DW13" s="212"/>
      <c r="DX13" s="212"/>
      <c r="DY13" s="213"/>
      <c r="DZ13" s="212"/>
      <c r="EA13" s="212"/>
      <c r="EB13" s="212"/>
      <c r="EC13" s="212"/>
      <c r="ED13" s="242"/>
      <c r="EE13" s="212"/>
      <c r="EF13" s="212"/>
      <c r="EG13" s="212"/>
      <c r="EH13" s="212"/>
      <c r="EI13" s="212"/>
      <c r="EJ13" s="213"/>
      <c r="EK13" s="214"/>
      <c r="EL13" s="212"/>
      <c r="EM13" s="212"/>
      <c r="EN13" s="212"/>
      <c r="EO13" s="212"/>
      <c r="EP13" s="212"/>
      <c r="EQ13" s="212"/>
      <c r="ER13" s="212"/>
      <c r="ES13" s="212"/>
      <c r="ET13" s="212"/>
      <c r="EU13" s="212"/>
      <c r="EV13" s="212"/>
      <c r="EW13" s="212"/>
      <c r="EX13" s="212"/>
      <c r="EY13" s="212"/>
      <c r="EZ13" s="212"/>
      <c r="FA13" s="212"/>
      <c r="FB13" s="212"/>
      <c r="FC13" s="213"/>
      <c r="FD13" s="212"/>
      <c r="FE13" s="212"/>
      <c r="FF13" s="212"/>
      <c r="FG13" s="215"/>
      <c r="FH13" s="212"/>
      <c r="FI13" s="212"/>
      <c r="FJ13" s="212"/>
      <c r="FK13" s="212"/>
      <c r="FL13" s="212"/>
      <c r="FM13" s="212"/>
      <c r="FN13" s="215"/>
      <c r="FO13" s="216"/>
      <c r="FP13" s="217"/>
      <c r="FQ13" s="215"/>
      <c r="FR13" s="215"/>
      <c r="FS13" s="212"/>
      <c r="FT13" s="212"/>
      <c r="FU13" s="212"/>
      <c r="FV13" s="212"/>
      <c r="FW13" s="212"/>
      <c r="FX13" s="212"/>
      <c r="FY13" s="212"/>
      <c r="FZ13" s="212"/>
      <c r="GA13" s="212"/>
      <c r="GB13" s="215"/>
      <c r="GC13" s="212"/>
      <c r="GD13" s="212"/>
      <c r="GE13" s="212"/>
      <c r="GF13" s="212"/>
      <c r="GG13" s="213"/>
      <c r="GH13" s="212"/>
      <c r="GI13" s="212"/>
      <c r="GJ13" s="212"/>
      <c r="GK13" s="212"/>
      <c r="GL13" s="212"/>
      <c r="GM13" s="212"/>
      <c r="GN13" s="212"/>
      <c r="GO13" s="212"/>
      <c r="GP13" s="212"/>
      <c r="GQ13" s="212"/>
      <c r="GR13" s="212"/>
      <c r="GS13" s="212"/>
      <c r="GT13" s="213"/>
      <c r="GU13" s="218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  <c r="HJ13" s="213"/>
      <c r="HK13" s="212"/>
      <c r="HL13" s="212"/>
      <c r="HM13" s="212"/>
      <c r="HN13" s="212"/>
      <c r="HO13" s="212"/>
      <c r="HP13" s="212"/>
      <c r="HQ13" s="212"/>
      <c r="HR13" s="212"/>
      <c r="HS13" s="212"/>
      <c r="HT13" s="212"/>
      <c r="HU13" s="212"/>
      <c r="HV13" s="212"/>
    </row>
    <row r="14" spans="1:242" s="219" customFormat="1" ht="30" customHeight="1" x14ac:dyDescent="0.15">
      <c r="A14" s="223"/>
      <c r="B14" s="76">
        <f t="shared" si="20"/>
        <v>5</v>
      </c>
      <c r="C14" s="93"/>
      <c r="D14" s="93"/>
      <c r="E14" s="94"/>
      <c r="F14" s="169" t="s">
        <v>28</v>
      </c>
      <c r="G14" s="96" t="s">
        <v>50</v>
      </c>
      <c r="H14" s="164"/>
      <c r="I14" s="163" t="s">
        <v>24</v>
      </c>
      <c r="J14" s="77" t="s">
        <v>45</v>
      </c>
      <c r="K14" s="77" t="s">
        <v>46</v>
      </c>
      <c r="L14" s="77"/>
      <c r="M14" s="91"/>
      <c r="N14" s="91"/>
      <c r="O14" s="86">
        <v>0</v>
      </c>
      <c r="P14" s="78">
        <v>45888</v>
      </c>
      <c r="Q14" s="91">
        <v>45888</v>
      </c>
      <c r="R14" s="210"/>
      <c r="S14" s="211"/>
      <c r="T14" s="212"/>
      <c r="U14" s="212"/>
      <c r="V14" s="212"/>
      <c r="W14" s="212"/>
      <c r="X14" s="212"/>
      <c r="Y14" s="213"/>
      <c r="Z14" s="213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3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3"/>
      <c r="AX14" s="214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42"/>
      <c r="BM14" s="212"/>
      <c r="BN14" s="212"/>
      <c r="BO14" s="213"/>
      <c r="BP14" s="212"/>
      <c r="BQ14" s="212"/>
      <c r="BR14" s="212"/>
      <c r="BS14" s="212"/>
      <c r="BT14" s="242"/>
      <c r="BU14" s="212"/>
      <c r="BV14" s="212"/>
      <c r="BW14" s="212"/>
      <c r="BX14" s="212"/>
      <c r="BY14" s="212"/>
      <c r="BZ14" s="212"/>
      <c r="CA14" s="213"/>
      <c r="CB14" s="214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42"/>
      <c r="CO14" s="212"/>
      <c r="CP14" s="212"/>
      <c r="CQ14" s="212"/>
      <c r="CR14" s="212"/>
      <c r="CS14" s="212"/>
      <c r="CT14" s="213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3"/>
      <c r="DG14" s="214"/>
      <c r="DH14" s="212"/>
      <c r="DI14" s="24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3"/>
      <c r="DZ14" s="212"/>
      <c r="EA14" s="212"/>
      <c r="EB14" s="212"/>
      <c r="EC14" s="212"/>
      <c r="ED14" s="242"/>
      <c r="EE14" s="212"/>
      <c r="EF14" s="212"/>
      <c r="EG14" s="212"/>
      <c r="EH14" s="212"/>
      <c r="EI14" s="212"/>
      <c r="EJ14" s="213"/>
      <c r="EK14" s="214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3"/>
      <c r="FD14" s="212"/>
      <c r="FE14" s="212"/>
      <c r="FF14" s="212"/>
      <c r="FG14" s="215"/>
      <c r="FH14" s="212"/>
      <c r="FI14" s="212"/>
      <c r="FJ14" s="212"/>
      <c r="FK14" s="212"/>
      <c r="FL14" s="212"/>
      <c r="FM14" s="212"/>
      <c r="FN14" s="215"/>
      <c r="FO14" s="216"/>
      <c r="FP14" s="217"/>
      <c r="FQ14" s="215"/>
      <c r="FR14" s="215"/>
      <c r="FS14" s="212"/>
      <c r="FT14" s="212"/>
      <c r="FU14" s="212"/>
      <c r="FV14" s="212"/>
      <c r="FW14" s="212"/>
      <c r="FX14" s="212"/>
      <c r="FY14" s="212"/>
      <c r="FZ14" s="212"/>
      <c r="GA14" s="212"/>
      <c r="GB14" s="215"/>
      <c r="GC14" s="212"/>
      <c r="GD14" s="212"/>
      <c r="GE14" s="212"/>
      <c r="GF14" s="212"/>
      <c r="GG14" s="213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  <c r="GT14" s="213"/>
      <c r="GU14" s="218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  <c r="HJ14" s="213"/>
      <c r="HK14" s="212"/>
      <c r="HL14" s="212"/>
      <c r="HM14" s="212"/>
      <c r="HN14" s="212"/>
      <c r="HO14" s="212"/>
      <c r="HP14" s="212"/>
      <c r="HQ14" s="212"/>
      <c r="HR14" s="212"/>
      <c r="HS14" s="212"/>
      <c r="HT14" s="212"/>
      <c r="HU14" s="212"/>
      <c r="HV14" s="212"/>
    </row>
    <row r="15" spans="1:242" s="219" customFormat="1" ht="30" customHeight="1" x14ac:dyDescent="0.15">
      <c r="A15" s="223"/>
      <c r="B15" s="76">
        <f t="shared" si="20"/>
        <v>6</v>
      </c>
      <c r="C15" s="93"/>
      <c r="D15" s="93" t="s">
        <v>31</v>
      </c>
      <c r="E15" s="94"/>
      <c r="F15" s="169"/>
      <c r="G15" s="96"/>
      <c r="H15" s="164"/>
      <c r="I15" s="163"/>
      <c r="J15" s="77"/>
      <c r="K15" s="77" t="s">
        <v>46</v>
      </c>
      <c r="L15" s="77"/>
      <c r="M15" s="91"/>
      <c r="N15" s="91"/>
      <c r="O15" s="86">
        <v>0</v>
      </c>
      <c r="P15" s="78">
        <v>45876</v>
      </c>
      <c r="Q15" s="91">
        <v>45876</v>
      </c>
      <c r="R15" s="210"/>
      <c r="S15" s="211"/>
      <c r="T15" s="212"/>
      <c r="U15" s="212"/>
      <c r="V15" s="212"/>
      <c r="W15" s="212"/>
      <c r="X15" s="212"/>
      <c r="Y15" s="213"/>
      <c r="Z15" s="213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3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3"/>
      <c r="AX15" s="214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42"/>
      <c r="BM15" s="212"/>
      <c r="BN15" s="212"/>
      <c r="BO15" s="213"/>
      <c r="BP15" s="212"/>
      <c r="BQ15" s="212"/>
      <c r="BR15" s="212"/>
      <c r="BS15" s="212"/>
      <c r="BT15" s="242"/>
      <c r="BU15" s="212"/>
      <c r="BV15" s="212"/>
      <c r="BW15" s="212"/>
      <c r="BX15" s="212"/>
      <c r="BY15" s="212"/>
      <c r="BZ15" s="212"/>
      <c r="CA15" s="213"/>
      <c r="CB15" s="214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42"/>
      <c r="CO15" s="212"/>
      <c r="CP15" s="212"/>
      <c r="CQ15" s="212"/>
      <c r="CR15" s="212"/>
      <c r="CS15" s="212"/>
      <c r="CT15" s="213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3"/>
      <c r="DG15" s="214"/>
      <c r="DH15" s="212"/>
      <c r="DI15" s="242"/>
      <c r="DJ15" s="212"/>
      <c r="DK15" s="212"/>
      <c r="DL15" s="212"/>
      <c r="DM15" s="212"/>
      <c r="DN15" s="212"/>
      <c r="DO15" s="212"/>
      <c r="DP15" s="212"/>
      <c r="DQ15" s="212"/>
      <c r="DR15" s="212"/>
      <c r="DS15" s="212"/>
      <c r="DT15" s="212"/>
      <c r="DU15" s="212"/>
      <c r="DV15" s="212"/>
      <c r="DW15" s="212"/>
      <c r="DX15" s="212"/>
      <c r="DY15" s="213"/>
      <c r="DZ15" s="212"/>
      <c r="EA15" s="212"/>
      <c r="EB15" s="212"/>
      <c r="EC15" s="212"/>
      <c r="ED15" s="242"/>
      <c r="EE15" s="212"/>
      <c r="EF15" s="212"/>
      <c r="EG15" s="212"/>
      <c r="EH15" s="212"/>
      <c r="EI15" s="212"/>
      <c r="EJ15" s="213"/>
      <c r="EK15" s="214"/>
      <c r="EL15" s="212"/>
      <c r="EM15" s="212"/>
      <c r="EN15" s="212"/>
      <c r="EO15" s="212"/>
      <c r="EP15" s="212"/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3"/>
      <c r="FD15" s="212"/>
      <c r="FE15" s="212"/>
      <c r="FF15" s="212"/>
      <c r="FG15" s="215"/>
      <c r="FH15" s="212"/>
      <c r="FI15" s="212"/>
      <c r="FJ15" s="212"/>
      <c r="FK15" s="212"/>
      <c r="FL15" s="212"/>
      <c r="FM15" s="212"/>
      <c r="FN15" s="215"/>
      <c r="FO15" s="216"/>
      <c r="FP15" s="217"/>
      <c r="FQ15" s="215"/>
      <c r="FR15" s="215"/>
      <c r="FS15" s="212"/>
      <c r="FT15" s="212"/>
      <c r="FU15" s="212"/>
      <c r="FV15" s="212"/>
      <c r="FW15" s="212"/>
      <c r="FX15" s="212"/>
      <c r="FY15" s="212"/>
      <c r="FZ15" s="212"/>
      <c r="GA15" s="212"/>
      <c r="GB15" s="215"/>
      <c r="GC15" s="212"/>
      <c r="GD15" s="212"/>
      <c r="GE15" s="212"/>
      <c r="GF15" s="212"/>
      <c r="GG15" s="213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3"/>
      <c r="GU15" s="218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3"/>
      <c r="HK15" s="212"/>
      <c r="HL15" s="212"/>
      <c r="HM15" s="212"/>
      <c r="HN15" s="212"/>
      <c r="HO15" s="212"/>
      <c r="HP15" s="212"/>
      <c r="HQ15" s="212"/>
      <c r="HR15" s="212"/>
      <c r="HS15" s="212"/>
      <c r="HT15" s="212"/>
      <c r="HU15" s="212"/>
      <c r="HV15" s="212"/>
    </row>
    <row r="16" spans="1:242" s="219" customFormat="1" ht="30" customHeight="1" x14ac:dyDescent="0.15">
      <c r="A16" s="223"/>
      <c r="B16" s="76">
        <f t="shared" si="20"/>
        <v>7</v>
      </c>
      <c r="C16" s="93"/>
      <c r="D16" s="93" t="s">
        <v>32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/>
      <c r="N16" s="91"/>
      <c r="O16" s="86">
        <v>0</v>
      </c>
      <c r="P16" s="78">
        <v>45877</v>
      </c>
      <c r="Q16" s="91">
        <v>45877</v>
      </c>
      <c r="R16" s="210"/>
      <c r="S16" s="211"/>
      <c r="T16" s="212"/>
      <c r="U16" s="212"/>
      <c r="V16" s="212"/>
      <c r="W16" s="212"/>
      <c r="X16" s="212"/>
      <c r="Y16" s="213"/>
      <c r="Z16" s="213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3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3"/>
      <c r="AX16" s="214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42"/>
      <c r="BM16" s="212"/>
      <c r="BN16" s="212"/>
      <c r="BO16" s="213"/>
      <c r="BP16" s="212"/>
      <c r="BQ16" s="212"/>
      <c r="BR16" s="212"/>
      <c r="BS16" s="212"/>
      <c r="BT16" s="242"/>
      <c r="BU16" s="212"/>
      <c r="BV16" s="212"/>
      <c r="BW16" s="212"/>
      <c r="BX16" s="212"/>
      <c r="BY16" s="212"/>
      <c r="BZ16" s="212"/>
      <c r="CA16" s="213"/>
      <c r="CB16" s="214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42"/>
      <c r="CO16" s="212"/>
      <c r="CP16" s="212"/>
      <c r="CQ16" s="212"/>
      <c r="CR16" s="212"/>
      <c r="CS16" s="212"/>
      <c r="CT16" s="213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3"/>
      <c r="DG16" s="214"/>
      <c r="DH16" s="212"/>
      <c r="DI16" s="242"/>
      <c r="DJ16" s="212"/>
      <c r="DK16" s="212"/>
      <c r="DL16" s="212"/>
      <c r="DM16" s="212"/>
      <c r="DN16" s="212"/>
      <c r="DO16" s="212"/>
      <c r="DP16" s="212"/>
      <c r="DQ16" s="212"/>
      <c r="DR16" s="212"/>
      <c r="DS16" s="212"/>
      <c r="DT16" s="212"/>
      <c r="DU16" s="212"/>
      <c r="DV16" s="212"/>
      <c r="DW16" s="212"/>
      <c r="DX16" s="212"/>
      <c r="DY16" s="213"/>
      <c r="DZ16" s="212"/>
      <c r="EA16" s="212"/>
      <c r="EB16" s="212"/>
      <c r="EC16" s="212"/>
      <c r="ED16" s="242"/>
      <c r="EE16" s="212"/>
      <c r="EF16" s="212"/>
      <c r="EG16" s="212"/>
      <c r="EH16" s="212"/>
      <c r="EI16" s="212"/>
      <c r="EJ16" s="213"/>
      <c r="EK16" s="214"/>
      <c r="EL16" s="212"/>
      <c r="EM16" s="212"/>
      <c r="EN16" s="212"/>
      <c r="EO16" s="212"/>
      <c r="EP16" s="212"/>
      <c r="EQ16" s="212"/>
      <c r="ER16" s="212"/>
      <c r="ES16" s="212"/>
      <c r="ET16" s="212"/>
      <c r="EU16" s="212"/>
      <c r="EV16" s="212"/>
      <c r="EW16" s="212"/>
      <c r="EX16" s="212"/>
      <c r="EY16" s="212"/>
      <c r="EZ16" s="212"/>
      <c r="FA16" s="212"/>
      <c r="FB16" s="212"/>
      <c r="FC16" s="213"/>
      <c r="FD16" s="212"/>
      <c r="FE16" s="212"/>
      <c r="FF16" s="212"/>
      <c r="FG16" s="215"/>
      <c r="FH16" s="212"/>
      <c r="FI16" s="212"/>
      <c r="FJ16" s="212"/>
      <c r="FK16" s="212"/>
      <c r="FL16" s="212"/>
      <c r="FM16" s="212"/>
      <c r="FN16" s="215"/>
      <c r="FO16" s="216"/>
      <c r="FP16" s="217"/>
      <c r="FQ16" s="215"/>
      <c r="FR16" s="215"/>
      <c r="FS16" s="212"/>
      <c r="FT16" s="212"/>
      <c r="FU16" s="212"/>
      <c r="FV16" s="212"/>
      <c r="FW16" s="212"/>
      <c r="FX16" s="212"/>
      <c r="FY16" s="212"/>
      <c r="FZ16" s="212"/>
      <c r="GA16" s="212"/>
      <c r="GB16" s="215"/>
      <c r="GC16" s="212"/>
      <c r="GD16" s="212"/>
      <c r="GE16" s="212"/>
      <c r="GF16" s="212"/>
      <c r="GG16" s="213"/>
      <c r="GH16" s="212"/>
      <c r="GI16" s="212"/>
      <c r="GJ16" s="212"/>
      <c r="GK16" s="212"/>
      <c r="GL16" s="212"/>
      <c r="GM16" s="212"/>
      <c r="GN16" s="212"/>
      <c r="GO16" s="212"/>
      <c r="GP16" s="212"/>
      <c r="GQ16" s="212"/>
      <c r="GR16" s="212"/>
      <c r="GS16" s="212"/>
      <c r="GT16" s="213"/>
      <c r="GU16" s="218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  <c r="HJ16" s="213"/>
      <c r="HK16" s="212"/>
      <c r="HL16" s="212"/>
      <c r="HM16" s="212"/>
      <c r="HN16" s="212"/>
      <c r="HO16" s="212"/>
      <c r="HP16" s="212"/>
      <c r="HQ16" s="212"/>
      <c r="HR16" s="212"/>
      <c r="HS16" s="212"/>
      <c r="HT16" s="212"/>
      <c r="HU16" s="212"/>
      <c r="HV16" s="212"/>
    </row>
    <row r="17" spans="1:230" s="219" customFormat="1" ht="30" customHeight="1" x14ac:dyDescent="0.15">
      <c r="A17" s="223"/>
      <c r="B17" s="76">
        <f t="shared" si="20"/>
        <v>8</v>
      </c>
      <c r="C17" s="93"/>
      <c r="D17" s="93" t="s">
        <v>33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/>
      <c r="N17" s="91"/>
      <c r="O17" s="86">
        <v>0</v>
      </c>
      <c r="P17" s="78">
        <v>45880</v>
      </c>
      <c r="Q17" s="91">
        <v>45880</v>
      </c>
      <c r="R17" s="210"/>
      <c r="S17" s="211"/>
      <c r="T17" s="212"/>
      <c r="U17" s="212"/>
      <c r="V17" s="212"/>
      <c r="W17" s="212"/>
      <c r="X17" s="212"/>
      <c r="Y17" s="213"/>
      <c r="Z17" s="213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3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3"/>
      <c r="AX17" s="214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42"/>
      <c r="BM17" s="212"/>
      <c r="BN17" s="212"/>
      <c r="BO17" s="213"/>
      <c r="BP17" s="212"/>
      <c r="BQ17" s="212"/>
      <c r="BR17" s="212"/>
      <c r="BS17" s="212"/>
      <c r="BT17" s="242"/>
      <c r="BU17" s="212"/>
      <c r="BV17" s="212"/>
      <c r="BW17" s="212"/>
      <c r="BX17" s="212"/>
      <c r="BY17" s="212"/>
      <c r="BZ17" s="212"/>
      <c r="CA17" s="213"/>
      <c r="CB17" s="214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42"/>
      <c r="CO17" s="212"/>
      <c r="CP17" s="212"/>
      <c r="CQ17" s="212"/>
      <c r="CR17" s="212"/>
      <c r="CS17" s="212"/>
      <c r="CT17" s="213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3"/>
      <c r="DG17" s="214"/>
      <c r="DH17" s="212"/>
      <c r="DI17" s="242"/>
      <c r="DJ17" s="212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3"/>
      <c r="DZ17" s="212"/>
      <c r="EA17" s="212"/>
      <c r="EB17" s="212"/>
      <c r="EC17" s="212"/>
      <c r="ED17" s="242"/>
      <c r="EE17" s="212"/>
      <c r="EF17" s="212"/>
      <c r="EG17" s="212"/>
      <c r="EH17" s="212"/>
      <c r="EI17" s="212"/>
      <c r="EJ17" s="213"/>
      <c r="EK17" s="214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3"/>
      <c r="FD17" s="212"/>
      <c r="FE17" s="212"/>
      <c r="FF17" s="212"/>
      <c r="FG17" s="215"/>
      <c r="FH17" s="212"/>
      <c r="FI17" s="212"/>
      <c r="FJ17" s="212"/>
      <c r="FK17" s="212"/>
      <c r="FL17" s="212"/>
      <c r="FM17" s="212"/>
      <c r="FN17" s="215"/>
      <c r="FO17" s="216"/>
      <c r="FP17" s="217"/>
      <c r="FQ17" s="215"/>
      <c r="FR17" s="215"/>
      <c r="FS17" s="212"/>
      <c r="FT17" s="212"/>
      <c r="FU17" s="212"/>
      <c r="FV17" s="212"/>
      <c r="FW17" s="212"/>
      <c r="FX17" s="212"/>
      <c r="FY17" s="212"/>
      <c r="FZ17" s="212"/>
      <c r="GA17" s="212"/>
      <c r="GB17" s="215"/>
      <c r="GC17" s="212"/>
      <c r="GD17" s="212"/>
      <c r="GE17" s="212"/>
      <c r="GF17" s="212"/>
      <c r="GG17" s="213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3"/>
      <c r="GU17" s="218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3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</row>
    <row r="18" spans="1:230" ht="30" customHeight="1" x14ac:dyDescent="0.15">
      <c r="A18" s="224"/>
      <c r="B18" s="76">
        <f t="shared" si="20"/>
        <v>9</v>
      </c>
      <c r="C18" s="93"/>
      <c r="D18" s="93" t="s">
        <v>34</v>
      </c>
      <c r="E18" s="93"/>
      <c r="F18" s="95"/>
      <c r="G18" s="95"/>
      <c r="H18" s="164"/>
      <c r="I18" s="163"/>
      <c r="J18" s="77"/>
      <c r="K18" s="77" t="s">
        <v>46</v>
      </c>
      <c r="L18" s="77"/>
      <c r="M18" s="91"/>
      <c r="N18" s="91"/>
      <c r="O18" s="86">
        <v>0</v>
      </c>
      <c r="P18" s="78">
        <v>45881</v>
      </c>
      <c r="Q18" s="91">
        <v>45881</v>
      </c>
      <c r="R18" s="80"/>
      <c r="S18" s="81"/>
      <c r="T18" s="82"/>
      <c r="U18" s="82"/>
      <c r="V18" s="82"/>
      <c r="W18" s="82"/>
      <c r="X18" s="82"/>
      <c r="Y18" s="83"/>
      <c r="Z18" s="83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3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3"/>
      <c r="AX18" s="84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241"/>
      <c r="BM18" s="82"/>
      <c r="BN18" s="82"/>
      <c r="BO18" s="83"/>
      <c r="BP18" s="82"/>
      <c r="BQ18" s="82"/>
      <c r="BR18" s="82"/>
      <c r="BS18" s="82"/>
      <c r="BT18" s="241"/>
      <c r="BU18" s="82"/>
      <c r="BV18" s="82"/>
      <c r="BW18" s="82"/>
      <c r="BX18" s="82"/>
      <c r="BY18" s="82"/>
      <c r="BZ18" s="82"/>
      <c r="CA18" s="83"/>
      <c r="CB18" s="84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241"/>
      <c r="CO18" s="82"/>
      <c r="CP18" s="82"/>
      <c r="CQ18" s="82"/>
      <c r="CR18" s="82"/>
      <c r="CS18" s="82"/>
      <c r="CT18" s="83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3"/>
      <c r="DG18" s="84"/>
      <c r="DH18" s="82"/>
      <c r="DI18" s="241"/>
      <c r="DJ18" s="82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3"/>
      <c r="DZ18" s="82"/>
      <c r="EA18" s="82"/>
      <c r="EB18" s="82"/>
      <c r="EC18" s="82"/>
      <c r="ED18" s="241"/>
      <c r="EE18" s="82"/>
      <c r="EF18" s="82"/>
      <c r="EG18" s="82"/>
      <c r="EH18" s="82"/>
      <c r="EI18" s="82"/>
      <c r="EJ18" s="83"/>
      <c r="EK18" s="84"/>
      <c r="EL18" s="82"/>
      <c r="EM18" s="82"/>
      <c r="EN18" s="82"/>
      <c r="EO18" s="82"/>
      <c r="EP18" s="82"/>
      <c r="EQ18" s="82"/>
      <c r="ER18" s="82"/>
      <c r="ES18" s="82"/>
      <c r="ET18" s="82"/>
      <c r="EU18" s="82"/>
      <c r="EV18" s="82"/>
      <c r="EW18" s="82"/>
      <c r="EX18" s="82"/>
      <c r="EY18" s="82"/>
      <c r="EZ18" s="82"/>
      <c r="FA18" s="82"/>
      <c r="FB18" s="82"/>
      <c r="FC18" s="83"/>
      <c r="FD18" s="82"/>
      <c r="FE18" s="82"/>
      <c r="FF18" s="82"/>
      <c r="FG18" s="186"/>
      <c r="FH18" s="82"/>
      <c r="FI18" s="82"/>
      <c r="FJ18" s="82"/>
      <c r="FK18" s="82"/>
      <c r="FL18" s="82"/>
      <c r="FM18" s="82"/>
      <c r="FN18" s="186"/>
      <c r="FO18" s="199"/>
      <c r="FP18" s="198"/>
      <c r="FQ18" s="186"/>
      <c r="FR18" s="186"/>
      <c r="FS18" s="82"/>
      <c r="FT18" s="82"/>
      <c r="FU18" s="82"/>
      <c r="FV18" s="82"/>
      <c r="FW18" s="82"/>
      <c r="FX18" s="82"/>
      <c r="FY18" s="82"/>
      <c r="FZ18" s="82"/>
      <c r="GA18" s="82"/>
      <c r="GB18" s="186"/>
      <c r="GC18" s="82"/>
      <c r="GD18" s="82"/>
      <c r="GE18" s="82"/>
      <c r="GF18" s="82"/>
      <c r="GG18" s="83"/>
      <c r="GH18" s="82"/>
      <c r="GI18" s="82"/>
      <c r="GJ18" s="82"/>
      <c r="GK18" s="82"/>
      <c r="GL18" s="82"/>
      <c r="GM18" s="82"/>
      <c r="GN18" s="82"/>
      <c r="GO18" s="82"/>
      <c r="GP18" s="82"/>
      <c r="GQ18" s="82"/>
      <c r="GR18" s="82"/>
      <c r="GS18" s="82"/>
      <c r="GT18" s="83"/>
      <c r="GU18" s="208"/>
      <c r="GV18" s="82"/>
      <c r="GW18" s="82"/>
      <c r="GX18" s="82"/>
      <c r="GY18" s="82"/>
      <c r="GZ18" s="82"/>
      <c r="HA18" s="82"/>
      <c r="HB18" s="82"/>
      <c r="HC18" s="82"/>
      <c r="HD18" s="82"/>
      <c r="HE18" s="82"/>
      <c r="HF18" s="82"/>
      <c r="HG18" s="82"/>
      <c r="HH18" s="82"/>
      <c r="HI18" s="82"/>
      <c r="HJ18" s="83"/>
      <c r="HK18" s="82"/>
      <c r="HL18" s="82"/>
      <c r="HM18" s="82"/>
      <c r="HN18" s="82"/>
      <c r="HO18" s="82"/>
      <c r="HP18" s="82"/>
      <c r="HQ18" s="82"/>
      <c r="HR18" s="82"/>
      <c r="HS18" s="82"/>
      <c r="HT18" s="82"/>
      <c r="HU18" s="82"/>
      <c r="HV18" s="82"/>
    </row>
    <row r="19" spans="1:230" ht="30" customHeight="1" x14ac:dyDescent="0.15">
      <c r="A19" s="58">
        <v>1</v>
      </c>
      <c r="B19" s="76">
        <f t="shared" si="20"/>
        <v>10</v>
      </c>
      <c r="C19" s="94"/>
      <c r="D19" s="93" t="s">
        <v>35</v>
      </c>
      <c r="E19" s="94"/>
      <c r="F19" s="97"/>
      <c r="G19" s="96"/>
      <c r="H19" s="164"/>
      <c r="I19" s="163"/>
      <c r="J19" s="77"/>
      <c r="K19" s="77" t="s">
        <v>46</v>
      </c>
      <c r="L19" s="77"/>
      <c r="M19" s="78"/>
      <c r="N19" s="91"/>
      <c r="O19" s="86">
        <v>0</v>
      </c>
      <c r="P19" s="78">
        <v>45882</v>
      </c>
      <c r="Q19" s="91">
        <v>45882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41"/>
      <c r="BM19" s="82"/>
      <c r="BN19" s="82"/>
      <c r="BO19" s="83"/>
      <c r="BP19" s="82"/>
      <c r="BQ19" s="82"/>
      <c r="BR19" s="82"/>
      <c r="BS19" s="82"/>
      <c r="BT19" s="241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41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41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41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6"/>
      <c r="FH19" s="82"/>
      <c r="FI19" s="82"/>
      <c r="FJ19" s="82"/>
      <c r="FK19" s="82"/>
      <c r="FL19" s="82"/>
      <c r="FM19" s="82"/>
      <c r="FN19" s="186"/>
      <c r="FO19" s="199"/>
      <c r="FP19" s="198"/>
      <c r="FQ19" s="186"/>
      <c r="FR19" s="186"/>
      <c r="FS19" s="82"/>
      <c r="FT19" s="82"/>
      <c r="FU19" s="82"/>
      <c r="FV19" s="82"/>
      <c r="FW19" s="82"/>
      <c r="FX19" s="82"/>
      <c r="FY19" s="82"/>
      <c r="FZ19" s="82"/>
      <c r="GA19" s="82"/>
      <c r="GB19" s="186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208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B20" s="76">
        <f t="shared" si="20"/>
        <v>11</v>
      </c>
      <c r="C20" s="94"/>
      <c r="D20" s="93"/>
      <c r="E20" s="94"/>
      <c r="F20" s="169"/>
      <c r="G20" s="96"/>
      <c r="H20" s="164"/>
      <c r="I20" s="163"/>
      <c r="J20" s="77"/>
      <c r="K20" s="77" t="s">
        <v>46</v>
      </c>
      <c r="L20" s="77"/>
      <c r="M20" s="78"/>
      <c r="N20" s="91"/>
      <c r="O20" s="86">
        <v>0</v>
      </c>
      <c r="P20" s="78"/>
      <c r="Q20" s="91"/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41"/>
      <c r="BM20" s="82"/>
      <c r="BN20" s="82"/>
      <c r="BO20" s="83"/>
      <c r="BP20" s="82"/>
      <c r="BQ20" s="82"/>
      <c r="BR20" s="82"/>
      <c r="BS20" s="82"/>
      <c r="BT20" s="241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41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41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41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6"/>
      <c r="FH20" s="82"/>
      <c r="FI20" s="82"/>
      <c r="FJ20" s="82"/>
      <c r="FK20" s="82"/>
      <c r="FL20" s="82"/>
      <c r="FM20" s="82"/>
      <c r="FN20" s="186"/>
      <c r="FO20" s="199"/>
      <c r="FP20" s="198"/>
      <c r="FQ20" s="186"/>
      <c r="FR20" s="186"/>
      <c r="FS20" s="82"/>
      <c r="FT20" s="82"/>
      <c r="FU20" s="82"/>
      <c r="FV20" s="82"/>
      <c r="FW20" s="82"/>
      <c r="FX20" s="82"/>
      <c r="FY20" s="82"/>
      <c r="FZ20" s="82"/>
      <c r="GA20" s="82"/>
      <c r="GB20" s="186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208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 t="s">
        <v>36</v>
      </c>
      <c r="G21" s="96"/>
      <c r="H21" s="164"/>
      <c r="I21" s="163" t="s">
        <v>24</v>
      </c>
      <c r="J21" s="77" t="s">
        <v>45</v>
      </c>
      <c r="K21" s="77" t="s">
        <v>46</v>
      </c>
      <c r="L21" s="77"/>
      <c r="M21" s="78"/>
      <c r="N21" s="91"/>
      <c r="O21" s="86">
        <v>0</v>
      </c>
      <c r="P21" s="78">
        <v>45896</v>
      </c>
      <c r="Q21" s="91">
        <v>45896</v>
      </c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41"/>
      <c r="BM21" s="82"/>
      <c r="BN21" s="82"/>
      <c r="BO21" s="83"/>
      <c r="BP21" s="82"/>
      <c r="BQ21" s="82"/>
      <c r="BR21" s="82"/>
      <c r="BS21" s="82"/>
      <c r="BT21" s="241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41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41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41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6"/>
      <c r="FH21" s="82"/>
      <c r="FI21" s="82"/>
      <c r="FJ21" s="82"/>
      <c r="FK21" s="82"/>
      <c r="FL21" s="82"/>
      <c r="FM21" s="82"/>
      <c r="FN21" s="186"/>
      <c r="FO21" s="199"/>
      <c r="FP21" s="198"/>
      <c r="FQ21" s="186"/>
      <c r="FR21" s="186"/>
      <c r="FS21" s="82"/>
      <c r="FT21" s="82"/>
      <c r="FU21" s="82"/>
      <c r="FV21" s="82"/>
      <c r="FW21" s="82"/>
      <c r="FX21" s="82"/>
      <c r="FY21" s="82"/>
      <c r="FZ21" s="82"/>
      <c r="GA21" s="82"/>
      <c r="GB21" s="186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208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A22" s="223"/>
      <c r="B22" s="76">
        <f t="shared" si="20"/>
        <v>13</v>
      </c>
      <c r="C22" s="95"/>
      <c r="D22" s="97"/>
      <c r="E22" s="95"/>
      <c r="F22" s="97"/>
      <c r="G22" s="96"/>
      <c r="H22" s="164"/>
      <c r="I22" s="163"/>
      <c r="J22" s="77"/>
      <c r="K22" s="77"/>
      <c r="L22" s="77"/>
      <c r="M22" s="78"/>
      <c r="N22" s="91"/>
      <c r="O22" s="86">
        <v>0</v>
      </c>
      <c r="P22" s="78"/>
      <c r="Q22" s="91"/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41"/>
      <c r="BM22" s="82"/>
      <c r="BN22" s="82"/>
      <c r="BO22" s="83"/>
      <c r="BP22" s="82"/>
      <c r="BQ22" s="82"/>
      <c r="BR22" s="82"/>
      <c r="BS22" s="82"/>
      <c r="BT22" s="241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41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41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41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6"/>
      <c r="FH22" s="82"/>
      <c r="FI22" s="82"/>
      <c r="FJ22" s="82"/>
      <c r="FK22" s="82"/>
      <c r="FL22" s="82"/>
      <c r="FM22" s="82"/>
      <c r="FN22" s="186"/>
      <c r="FO22" s="199"/>
      <c r="FP22" s="198"/>
      <c r="FQ22" s="186"/>
      <c r="FR22" s="186"/>
      <c r="FS22" s="82"/>
      <c r="FT22" s="82"/>
      <c r="FU22" s="82"/>
      <c r="FV22" s="82"/>
      <c r="FW22" s="82"/>
      <c r="FX22" s="82"/>
      <c r="FY22" s="82"/>
      <c r="FZ22" s="82"/>
      <c r="GA22" s="82"/>
      <c r="GB22" s="186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208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23"/>
      <c r="B23" s="76">
        <f t="shared" si="20"/>
        <v>14</v>
      </c>
      <c r="C23" s="169" t="s">
        <v>25</v>
      </c>
      <c r="D23" s="169" t="s">
        <v>29</v>
      </c>
      <c r="E23" s="169"/>
      <c r="F23" s="95"/>
      <c r="G23" s="96"/>
      <c r="H23" s="164" t="s">
        <v>24</v>
      </c>
      <c r="I23" s="163"/>
      <c r="J23" s="77"/>
      <c r="K23" s="77" t="s">
        <v>46</v>
      </c>
      <c r="L23" s="85"/>
      <c r="M23" s="78"/>
      <c r="N23" s="91"/>
      <c r="O23" s="86">
        <v>0</v>
      </c>
      <c r="P23" s="78">
        <v>45887</v>
      </c>
      <c r="Q23" s="91">
        <v>45887</v>
      </c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41"/>
      <c r="BM23" s="82"/>
      <c r="BN23" s="82"/>
      <c r="BO23" s="83"/>
      <c r="BP23" s="82"/>
      <c r="BQ23" s="82"/>
      <c r="BR23" s="82"/>
      <c r="BS23" s="82"/>
      <c r="BT23" s="241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41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41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41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6"/>
      <c r="FH23" s="82"/>
      <c r="FI23" s="82"/>
      <c r="FJ23" s="82"/>
      <c r="FK23" s="82"/>
      <c r="FL23" s="82"/>
      <c r="FM23" s="82"/>
      <c r="FN23" s="186"/>
      <c r="FO23" s="199"/>
      <c r="FP23" s="198"/>
      <c r="FQ23" s="186"/>
      <c r="FR23" s="186"/>
      <c r="FS23" s="82"/>
      <c r="FT23" s="82"/>
      <c r="FU23" s="82"/>
      <c r="FV23" s="82"/>
      <c r="FW23" s="82"/>
      <c r="FX23" s="82"/>
      <c r="FY23" s="82"/>
      <c r="FZ23" s="82"/>
      <c r="GA23" s="82"/>
      <c r="GB23" s="186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208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23"/>
      <c r="B24" s="76">
        <f t="shared" si="20"/>
        <v>15</v>
      </c>
      <c r="C24" s="93"/>
      <c r="D24" s="93" t="s">
        <v>30</v>
      </c>
      <c r="E24" s="94"/>
      <c r="F24" s="168"/>
      <c r="G24" s="96"/>
      <c r="H24" s="164"/>
      <c r="I24" s="163"/>
      <c r="J24" s="77"/>
      <c r="K24" s="77" t="s">
        <v>46</v>
      </c>
      <c r="L24" s="85"/>
      <c r="M24" s="78"/>
      <c r="N24" s="91"/>
      <c r="O24" s="86">
        <v>0</v>
      </c>
      <c r="P24" s="78">
        <v>45888</v>
      </c>
      <c r="Q24" s="91">
        <v>45888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41"/>
      <c r="BM24" s="82"/>
      <c r="BN24" s="82"/>
      <c r="BO24" s="83"/>
      <c r="BP24" s="82"/>
      <c r="BQ24" s="82"/>
      <c r="BR24" s="82"/>
      <c r="BS24" s="82"/>
      <c r="BT24" s="241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41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41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41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6"/>
      <c r="FH24" s="82"/>
      <c r="FI24" s="82"/>
      <c r="FJ24" s="82"/>
      <c r="FK24" s="82"/>
      <c r="FL24" s="82"/>
      <c r="FM24" s="82"/>
      <c r="FN24" s="186"/>
      <c r="FO24" s="199"/>
      <c r="FP24" s="198"/>
      <c r="FQ24" s="186"/>
      <c r="FR24" s="186"/>
      <c r="FS24" s="82"/>
      <c r="FT24" s="82"/>
      <c r="FU24" s="82"/>
      <c r="FV24" s="82"/>
      <c r="FW24" s="82"/>
      <c r="FX24" s="82"/>
      <c r="FY24" s="82"/>
      <c r="FZ24" s="82"/>
      <c r="GA24" s="82"/>
      <c r="GB24" s="186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208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23"/>
      <c r="B25" s="76">
        <f t="shared" si="20"/>
        <v>16</v>
      </c>
      <c r="C25" s="93"/>
      <c r="D25" s="93" t="s">
        <v>49</v>
      </c>
      <c r="E25" s="94"/>
      <c r="F25" s="169"/>
      <c r="G25" s="96"/>
      <c r="H25" s="164"/>
      <c r="I25" s="163"/>
      <c r="J25" s="77"/>
      <c r="K25" s="77" t="s">
        <v>46</v>
      </c>
      <c r="L25" s="85"/>
      <c r="M25" s="78"/>
      <c r="N25" s="91"/>
      <c r="O25" s="86">
        <v>0</v>
      </c>
      <c r="P25" s="78">
        <v>45889</v>
      </c>
      <c r="Q25" s="91">
        <v>45889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41"/>
      <c r="BM25" s="82"/>
      <c r="BN25" s="82"/>
      <c r="BO25" s="83"/>
      <c r="BP25" s="82"/>
      <c r="BQ25" s="82"/>
      <c r="BR25" s="82"/>
      <c r="BS25" s="82"/>
      <c r="BT25" s="241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41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41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41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6"/>
      <c r="FH25" s="82"/>
      <c r="FI25" s="82"/>
      <c r="FJ25" s="82"/>
      <c r="FK25" s="82"/>
      <c r="FL25" s="82"/>
      <c r="FM25" s="82"/>
      <c r="FN25" s="186"/>
      <c r="FO25" s="199"/>
      <c r="FP25" s="198"/>
      <c r="FQ25" s="186"/>
      <c r="FR25" s="186"/>
      <c r="FS25" s="82"/>
      <c r="FT25" s="82"/>
      <c r="FU25" s="82"/>
      <c r="FV25" s="82"/>
      <c r="FW25" s="82"/>
      <c r="FX25" s="82"/>
      <c r="FY25" s="82"/>
      <c r="FZ25" s="82"/>
      <c r="GA25" s="82"/>
      <c r="GB25" s="186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208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s="219" customFormat="1" ht="30" customHeight="1" x14ac:dyDescent="0.15">
      <c r="A26" s="223"/>
      <c r="B26" s="76">
        <f t="shared" si="20"/>
        <v>17</v>
      </c>
      <c r="C26" s="220"/>
      <c r="D26" s="93"/>
      <c r="E26" s="94"/>
      <c r="F26" s="169" t="s">
        <v>28</v>
      </c>
      <c r="G26" s="96"/>
      <c r="H26" s="164"/>
      <c r="I26" s="163" t="s">
        <v>25</v>
      </c>
      <c r="J26" s="77" t="s">
        <v>45</v>
      </c>
      <c r="K26" s="77" t="s">
        <v>46</v>
      </c>
      <c r="L26" s="85"/>
      <c r="M26" s="78"/>
      <c r="N26" s="91"/>
      <c r="O26" s="86">
        <v>0</v>
      </c>
      <c r="P26" s="78">
        <v>45896</v>
      </c>
      <c r="Q26" s="91">
        <v>45896</v>
      </c>
      <c r="R26" s="210"/>
      <c r="S26" s="211"/>
      <c r="T26" s="212"/>
      <c r="U26" s="212"/>
      <c r="V26" s="212"/>
      <c r="W26" s="212"/>
      <c r="X26" s="212"/>
      <c r="Y26" s="213"/>
      <c r="Z26" s="213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3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3"/>
      <c r="AX26" s="214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42"/>
      <c r="BM26" s="212"/>
      <c r="BN26" s="212"/>
      <c r="BO26" s="213"/>
      <c r="BP26" s="212"/>
      <c r="BQ26" s="212"/>
      <c r="BR26" s="212"/>
      <c r="BS26" s="212"/>
      <c r="BT26" s="242"/>
      <c r="BU26" s="212"/>
      <c r="BV26" s="212"/>
      <c r="BW26" s="212"/>
      <c r="BX26" s="212"/>
      <c r="BY26" s="212"/>
      <c r="BZ26" s="212"/>
      <c r="CA26" s="213"/>
      <c r="CB26" s="214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42"/>
      <c r="CO26" s="212"/>
      <c r="CP26" s="212"/>
      <c r="CQ26" s="212"/>
      <c r="CR26" s="212"/>
      <c r="CS26" s="212"/>
      <c r="CT26" s="213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3"/>
      <c r="DG26" s="214"/>
      <c r="DH26" s="212"/>
      <c r="DI26" s="242"/>
      <c r="DJ26" s="212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3"/>
      <c r="DZ26" s="212"/>
      <c r="EA26" s="212"/>
      <c r="EB26" s="212"/>
      <c r="EC26" s="212"/>
      <c r="ED26" s="242"/>
      <c r="EE26" s="212"/>
      <c r="EF26" s="212"/>
      <c r="EG26" s="212"/>
      <c r="EH26" s="212"/>
      <c r="EI26" s="212"/>
      <c r="EJ26" s="213"/>
      <c r="EK26" s="214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3"/>
      <c r="FD26" s="212"/>
      <c r="FE26" s="212"/>
      <c r="FF26" s="212"/>
      <c r="FG26" s="215"/>
      <c r="FH26" s="212"/>
      <c r="FI26" s="212"/>
      <c r="FJ26" s="212"/>
      <c r="FK26" s="212"/>
      <c r="FL26" s="212"/>
      <c r="FM26" s="212"/>
      <c r="FN26" s="215"/>
      <c r="FO26" s="216"/>
      <c r="FP26" s="217"/>
      <c r="FQ26" s="215"/>
      <c r="FR26" s="215"/>
      <c r="FS26" s="212"/>
      <c r="FT26" s="212"/>
      <c r="FU26" s="212"/>
      <c r="FV26" s="212"/>
      <c r="FW26" s="212"/>
      <c r="FX26" s="212"/>
      <c r="FY26" s="212"/>
      <c r="FZ26" s="212"/>
      <c r="GA26" s="212"/>
      <c r="GB26" s="215"/>
      <c r="GC26" s="212"/>
      <c r="GD26" s="212"/>
      <c r="GE26" s="212"/>
      <c r="GF26" s="212"/>
      <c r="GG26" s="213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3"/>
      <c r="GU26" s="218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3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</row>
    <row r="27" spans="1:230" s="219" customFormat="1" ht="30" customHeight="1" x14ac:dyDescent="0.15">
      <c r="A27" s="223"/>
      <c r="B27" s="76">
        <f t="shared" si="20"/>
        <v>18</v>
      </c>
      <c r="C27" s="220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210"/>
      <c r="S27" s="211"/>
      <c r="T27" s="212"/>
      <c r="U27" s="212"/>
      <c r="V27" s="212"/>
      <c r="W27" s="212"/>
      <c r="X27" s="212"/>
      <c r="Y27" s="213"/>
      <c r="Z27" s="213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3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3"/>
      <c r="AX27" s="214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42"/>
      <c r="BM27" s="212"/>
      <c r="BN27" s="212"/>
      <c r="BO27" s="213"/>
      <c r="BP27" s="212"/>
      <c r="BQ27" s="212"/>
      <c r="BR27" s="212"/>
      <c r="BS27" s="212"/>
      <c r="BT27" s="242"/>
      <c r="BU27" s="212"/>
      <c r="BV27" s="212"/>
      <c r="BW27" s="212"/>
      <c r="BX27" s="212"/>
      <c r="BY27" s="212"/>
      <c r="BZ27" s="212"/>
      <c r="CA27" s="213"/>
      <c r="CB27" s="214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42"/>
      <c r="CO27" s="212"/>
      <c r="CP27" s="212"/>
      <c r="CQ27" s="212"/>
      <c r="CR27" s="212"/>
      <c r="CS27" s="212"/>
      <c r="CT27" s="213"/>
      <c r="CU27" s="212"/>
      <c r="CV27" s="212"/>
      <c r="CW27" s="212"/>
      <c r="CX27" s="212"/>
      <c r="CY27" s="212"/>
      <c r="CZ27" s="212"/>
      <c r="DA27" s="212"/>
      <c r="DB27" s="212"/>
      <c r="DC27" s="212"/>
      <c r="DD27" s="212"/>
      <c r="DE27" s="212"/>
      <c r="DF27" s="213"/>
      <c r="DG27" s="214"/>
      <c r="DH27" s="212"/>
      <c r="DI27" s="242"/>
      <c r="DJ27" s="212"/>
      <c r="DK27" s="212"/>
      <c r="DL27" s="212"/>
      <c r="DM27" s="212"/>
      <c r="DN27" s="212"/>
      <c r="DO27" s="212"/>
      <c r="DP27" s="212"/>
      <c r="DQ27" s="212"/>
      <c r="DR27" s="212"/>
      <c r="DS27" s="212"/>
      <c r="DT27" s="212"/>
      <c r="DU27" s="212"/>
      <c r="DV27" s="212"/>
      <c r="DW27" s="212"/>
      <c r="DX27" s="212"/>
      <c r="DY27" s="213"/>
      <c r="DZ27" s="212"/>
      <c r="EA27" s="212"/>
      <c r="EB27" s="212"/>
      <c r="EC27" s="212"/>
      <c r="ED27" s="242"/>
      <c r="EE27" s="212"/>
      <c r="EF27" s="212"/>
      <c r="EG27" s="212"/>
      <c r="EH27" s="212"/>
      <c r="EI27" s="212"/>
      <c r="EJ27" s="213"/>
      <c r="EK27" s="214"/>
      <c r="EL27" s="212"/>
      <c r="EM27" s="212"/>
      <c r="EN27" s="212"/>
      <c r="EO27" s="212"/>
      <c r="EP27" s="212"/>
      <c r="EQ27" s="212"/>
      <c r="ER27" s="212"/>
      <c r="ES27" s="212"/>
      <c r="ET27" s="212"/>
      <c r="EU27" s="212"/>
      <c r="EV27" s="212"/>
      <c r="EW27" s="212"/>
      <c r="EX27" s="212"/>
      <c r="EY27" s="212"/>
      <c r="EZ27" s="212"/>
      <c r="FA27" s="212"/>
      <c r="FB27" s="212"/>
      <c r="FC27" s="213"/>
      <c r="FD27" s="212"/>
      <c r="FE27" s="212"/>
      <c r="FF27" s="212"/>
      <c r="FG27" s="215"/>
      <c r="FH27" s="212"/>
      <c r="FI27" s="212"/>
      <c r="FJ27" s="212"/>
      <c r="FK27" s="212"/>
      <c r="FL27" s="212"/>
      <c r="FM27" s="212"/>
      <c r="FN27" s="215"/>
      <c r="FO27" s="216"/>
      <c r="FP27" s="217"/>
      <c r="FQ27" s="215"/>
      <c r="FR27" s="215"/>
      <c r="FS27" s="212"/>
      <c r="FT27" s="212"/>
      <c r="FU27" s="212"/>
      <c r="FV27" s="212"/>
      <c r="FW27" s="212"/>
      <c r="FX27" s="212"/>
      <c r="FY27" s="212"/>
      <c r="FZ27" s="212"/>
      <c r="GA27" s="212"/>
      <c r="GB27" s="215"/>
      <c r="GC27" s="212"/>
      <c r="GD27" s="212"/>
      <c r="GE27" s="212"/>
      <c r="GF27" s="212"/>
      <c r="GG27" s="213"/>
      <c r="GH27" s="212"/>
      <c r="GI27" s="212"/>
      <c r="GJ27" s="212"/>
      <c r="GK27" s="212"/>
      <c r="GL27" s="212"/>
      <c r="GM27" s="212"/>
      <c r="GN27" s="212"/>
      <c r="GO27" s="212"/>
      <c r="GP27" s="212"/>
      <c r="GQ27" s="212"/>
      <c r="GR27" s="212"/>
      <c r="GS27" s="212"/>
      <c r="GT27" s="213"/>
      <c r="GU27" s="218"/>
      <c r="GV27" s="212"/>
      <c r="GW27" s="212"/>
      <c r="GX27" s="212"/>
      <c r="GY27" s="212"/>
      <c r="GZ27" s="212"/>
      <c r="HA27" s="212"/>
      <c r="HB27" s="212"/>
      <c r="HC27" s="212"/>
      <c r="HD27" s="212"/>
      <c r="HE27" s="212"/>
      <c r="HF27" s="212"/>
      <c r="HG27" s="212"/>
      <c r="HH27" s="212"/>
      <c r="HI27" s="212"/>
      <c r="HJ27" s="213"/>
      <c r="HK27" s="212"/>
      <c r="HL27" s="212"/>
      <c r="HM27" s="212"/>
      <c r="HN27" s="212"/>
      <c r="HO27" s="212"/>
      <c r="HP27" s="212"/>
      <c r="HQ27" s="212"/>
      <c r="HR27" s="212"/>
      <c r="HS27" s="212"/>
      <c r="HT27" s="212"/>
      <c r="HU27" s="212"/>
      <c r="HV27" s="212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45898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41"/>
      <c r="BM28" s="82"/>
      <c r="BN28" s="82"/>
      <c r="BO28" s="83"/>
      <c r="BP28" s="82"/>
      <c r="BQ28" s="82"/>
      <c r="BR28" s="82"/>
      <c r="BS28" s="82"/>
      <c r="BT28" s="241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41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41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41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6"/>
      <c r="FH28" s="82"/>
      <c r="FI28" s="82"/>
      <c r="FJ28" s="82"/>
      <c r="FK28" s="82"/>
      <c r="FL28" s="82"/>
      <c r="FM28" s="82"/>
      <c r="FN28" s="186"/>
      <c r="FO28" s="199"/>
      <c r="FP28" s="198"/>
      <c r="FQ28" s="186"/>
      <c r="FR28" s="186"/>
      <c r="FS28" s="82"/>
      <c r="FT28" s="82"/>
      <c r="FU28" s="82"/>
      <c r="FV28" s="82"/>
      <c r="FW28" s="82"/>
      <c r="FX28" s="82"/>
      <c r="FY28" s="82"/>
      <c r="FZ28" s="82"/>
      <c r="GA28" s="82"/>
      <c r="GB28" s="186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208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36</v>
      </c>
      <c r="G29" s="95"/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45903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41"/>
      <c r="BM29" s="82"/>
      <c r="BN29" s="82"/>
      <c r="BO29" s="83"/>
      <c r="BP29" s="82"/>
      <c r="BQ29" s="82"/>
      <c r="BR29" s="82"/>
      <c r="BS29" s="82"/>
      <c r="BT29" s="241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41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41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41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6"/>
      <c r="FH29" s="82"/>
      <c r="FI29" s="82"/>
      <c r="FJ29" s="82"/>
      <c r="FK29" s="82"/>
      <c r="FL29" s="82"/>
      <c r="FM29" s="82"/>
      <c r="FN29" s="186"/>
      <c r="FO29" s="199"/>
      <c r="FP29" s="198"/>
      <c r="FQ29" s="186"/>
      <c r="FR29" s="186"/>
      <c r="FS29" s="82"/>
      <c r="FT29" s="82"/>
      <c r="FU29" s="82"/>
      <c r="FV29" s="82"/>
      <c r="FW29" s="82"/>
      <c r="FX29" s="82"/>
      <c r="FY29" s="82"/>
      <c r="FZ29" s="82"/>
      <c r="GA29" s="82"/>
      <c r="GB29" s="186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208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23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45903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41"/>
      <c r="BM30" s="82"/>
      <c r="BN30" s="82"/>
      <c r="BO30" s="83"/>
      <c r="BP30" s="82"/>
      <c r="BQ30" s="82"/>
      <c r="BR30" s="82"/>
      <c r="BS30" s="82"/>
      <c r="BT30" s="241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41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41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41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6"/>
      <c r="FH30" s="82"/>
      <c r="FI30" s="82"/>
      <c r="FJ30" s="82"/>
      <c r="FK30" s="82"/>
      <c r="FL30" s="82"/>
      <c r="FM30" s="82"/>
      <c r="FN30" s="186"/>
      <c r="FO30" s="199"/>
      <c r="FP30" s="198"/>
      <c r="FQ30" s="186"/>
      <c r="FR30" s="186"/>
      <c r="FS30" s="82"/>
      <c r="FT30" s="82"/>
      <c r="FU30" s="82"/>
      <c r="FV30" s="82"/>
      <c r="FW30" s="82"/>
      <c r="FX30" s="82"/>
      <c r="FY30" s="82"/>
      <c r="FZ30" s="82"/>
      <c r="GA30" s="82"/>
      <c r="GB30" s="186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208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23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41"/>
      <c r="BM31" s="82"/>
      <c r="BN31" s="82"/>
      <c r="BO31" s="83"/>
      <c r="BP31" s="82"/>
      <c r="BQ31" s="82"/>
      <c r="BR31" s="82"/>
      <c r="BS31" s="82"/>
      <c r="BT31" s="241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41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41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41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6"/>
      <c r="FH31" s="82"/>
      <c r="FI31" s="82"/>
      <c r="FJ31" s="82"/>
      <c r="FK31" s="82"/>
      <c r="FL31" s="82"/>
      <c r="FM31" s="82"/>
      <c r="FN31" s="186"/>
      <c r="FO31" s="199"/>
      <c r="FP31" s="198"/>
      <c r="FQ31" s="186"/>
      <c r="FR31" s="186"/>
      <c r="FS31" s="82"/>
      <c r="FT31" s="82"/>
      <c r="FU31" s="82"/>
      <c r="FV31" s="82"/>
      <c r="FW31" s="82"/>
      <c r="FX31" s="82"/>
      <c r="FY31" s="82"/>
      <c r="FZ31" s="82"/>
      <c r="GA31" s="82"/>
      <c r="GB31" s="186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208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23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41"/>
      <c r="BM32" s="82"/>
      <c r="BN32" s="82"/>
      <c r="BO32" s="83"/>
      <c r="BP32" s="82"/>
      <c r="BQ32" s="82"/>
      <c r="BR32" s="82"/>
      <c r="BS32" s="82"/>
      <c r="BT32" s="241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41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41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41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6"/>
      <c r="FH32" s="82"/>
      <c r="FI32" s="82"/>
      <c r="FJ32" s="82"/>
      <c r="FK32" s="82"/>
      <c r="FL32" s="82"/>
      <c r="FM32" s="82"/>
      <c r="FN32" s="186"/>
      <c r="FO32" s="199"/>
      <c r="FP32" s="198"/>
      <c r="FQ32" s="186"/>
      <c r="FR32" s="186"/>
      <c r="FS32" s="82"/>
      <c r="FT32" s="82"/>
      <c r="FU32" s="82"/>
      <c r="FV32" s="82"/>
      <c r="FW32" s="82"/>
      <c r="FX32" s="82"/>
      <c r="FY32" s="82"/>
      <c r="FZ32" s="82"/>
      <c r="GA32" s="82"/>
      <c r="GB32" s="186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208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23"/>
      <c r="B33" s="76">
        <f t="shared" si="20"/>
        <v>24</v>
      </c>
      <c r="C33" s="93"/>
      <c r="D33" s="93"/>
      <c r="E33" s="94"/>
      <c r="F33" s="169" t="s">
        <v>37</v>
      </c>
      <c r="G33" s="96"/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45910</v>
      </c>
      <c r="Q33" s="91">
        <v>45910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41"/>
      <c r="BM33" s="82"/>
      <c r="BN33" s="82"/>
      <c r="BO33" s="83"/>
      <c r="BP33" s="82"/>
      <c r="BQ33" s="82"/>
      <c r="BR33" s="82"/>
      <c r="BS33" s="82"/>
      <c r="BT33" s="241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41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41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41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6"/>
      <c r="FH33" s="82"/>
      <c r="FI33" s="82"/>
      <c r="FJ33" s="82"/>
      <c r="FK33" s="82"/>
      <c r="FL33" s="82"/>
      <c r="FM33" s="82"/>
      <c r="FN33" s="186"/>
      <c r="FO33" s="199"/>
      <c r="FP33" s="198"/>
      <c r="FQ33" s="186"/>
      <c r="FR33" s="186"/>
      <c r="FS33" s="82"/>
      <c r="FT33" s="82"/>
      <c r="FU33" s="82"/>
      <c r="FV33" s="82"/>
      <c r="FW33" s="82"/>
      <c r="FX33" s="82"/>
      <c r="FY33" s="82"/>
      <c r="FZ33" s="82"/>
      <c r="GA33" s="82"/>
      <c r="GB33" s="186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208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19" customFormat="1" ht="30" customHeight="1" x14ac:dyDescent="0.15">
      <c r="A34" s="223"/>
      <c r="B34" s="76">
        <f t="shared" si="20"/>
        <v>25</v>
      </c>
      <c r="C34" s="237"/>
      <c r="D34" s="97"/>
      <c r="E34" s="97"/>
      <c r="F34" s="95"/>
      <c r="G34" s="226" t="s">
        <v>47</v>
      </c>
      <c r="H34" s="164"/>
      <c r="I34" s="163"/>
      <c r="J34" s="77" t="s">
        <v>45</v>
      </c>
      <c r="K34" s="77"/>
      <c r="L34" s="85"/>
      <c r="M34" s="78"/>
      <c r="N34" s="91"/>
      <c r="O34" s="86">
        <v>0</v>
      </c>
      <c r="P34" s="78"/>
      <c r="Q34" s="91"/>
      <c r="R34" s="210"/>
      <c r="S34" s="211"/>
      <c r="T34" s="212"/>
      <c r="U34" s="212"/>
      <c r="V34" s="212"/>
      <c r="W34" s="212"/>
      <c r="X34" s="212"/>
      <c r="Y34" s="213"/>
      <c r="Z34" s="213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3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3"/>
      <c r="AX34" s="214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42"/>
      <c r="BM34" s="212"/>
      <c r="BN34" s="212"/>
      <c r="BO34" s="213"/>
      <c r="BP34" s="212"/>
      <c r="BQ34" s="212"/>
      <c r="BR34" s="212"/>
      <c r="BS34" s="212"/>
      <c r="BT34" s="242"/>
      <c r="BU34" s="212"/>
      <c r="BV34" s="212"/>
      <c r="BW34" s="212"/>
      <c r="BX34" s="212"/>
      <c r="BY34" s="212"/>
      <c r="BZ34" s="212"/>
      <c r="CA34" s="213"/>
      <c r="CB34" s="214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42"/>
      <c r="CO34" s="212"/>
      <c r="CP34" s="212"/>
      <c r="CQ34" s="212"/>
      <c r="CR34" s="212"/>
      <c r="CS34" s="212"/>
      <c r="CT34" s="213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3"/>
      <c r="DG34" s="214"/>
      <c r="DH34" s="212"/>
      <c r="DI34" s="242"/>
      <c r="DJ34" s="212"/>
      <c r="DK34" s="212"/>
      <c r="DL34" s="212"/>
      <c r="DM34" s="212"/>
      <c r="DN34" s="212"/>
      <c r="DO34" s="212"/>
      <c r="DP34" s="212"/>
      <c r="DQ34" s="212"/>
      <c r="DR34" s="212"/>
      <c r="DS34" s="212"/>
      <c r="DT34" s="212"/>
      <c r="DU34" s="212"/>
      <c r="DV34" s="212"/>
      <c r="DW34" s="212"/>
      <c r="DX34" s="212"/>
      <c r="DY34" s="213"/>
      <c r="DZ34" s="212"/>
      <c r="EA34" s="212"/>
      <c r="EB34" s="212"/>
      <c r="EC34" s="212"/>
      <c r="ED34" s="242"/>
      <c r="EE34" s="212"/>
      <c r="EF34" s="212"/>
      <c r="EG34" s="212"/>
      <c r="EH34" s="212"/>
      <c r="EI34" s="212"/>
      <c r="EJ34" s="213"/>
      <c r="EK34" s="214"/>
      <c r="EL34" s="212"/>
      <c r="EM34" s="212"/>
      <c r="EN34" s="212"/>
      <c r="EO34" s="212"/>
      <c r="EP34" s="212"/>
      <c r="EQ34" s="212"/>
      <c r="ER34" s="212"/>
      <c r="ES34" s="212"/>
      <c r="ET34" s="212"/>
      <c r="EU34" s="212"/>
      <c r="EV34" s="212"/>
      <c r="EW34" s="212"/>
      <c r="EX34" s="212"/>
      <c r="EY34" s="212"/>
      <c r="EZ34" s="212"/>
      <c r="FA34" s="212"/>
      <c r="FB34" s="212"/>
      <c r="FC34" s="213"/>
      <c r="FD34" s="212"/>
      <c r="FE34" s="212"/>
      <c r="FF34" s="212"/>
      <c r="FG34" s="215"/>
      <c r="FH34" s="212"/>
      <c r="FI34" s="212"/>
      <c r="FJ34" s="212"/>
      <c r="FK34" s="212"/>
      <c r="FL34" s="212"/>
      <c r="FM34" s="212"/>
      <c r="FN34" s="215"/>
      <c r="FO34" s="216"/>
      <c r="FP34" s="217"/>
      <c r="FQ34" s="215"/>
      <c r="FR34" s="215"/>
      <c r="FS34" s="212"/>
      <c r="FT34" s="212"/>
      <c r="FU34" s="212"/>
      <c r="FV34" s="212"/>
      <c r="FW34" s="212"/>
      <c r="FX34" s="212"/>
      <c r="FY34" s="212"/>
      <c r="FZ34" s="212"/>
      <c r="GA34" s="212"/>
      <c r="GB34" s="215"/>
      <c r="GC34" s="212"/>
      <c r="GD34" s="212"/>
      <c r="GE34" s="212"/>
      <c r="GF34" s="212"/>
      <c r="GG34" s="213"/>
      <c r="GH34" s="212"/>
      <c r="GI34" s="212"/>
      <c r="GJ34" s="212"/>
      <c r="GK34" s="212"/>
      <c r="GL34" s="212"/>
      <c r="GM34" s="212"/>
      <c r="GN34" s="212"/>
      <c r="GO34" s="212"/>
      <c r="GP34" s="212"/>
      <c r="GQ34" s="212"/>
      <c r="GR34" s="212"/>
      <c r="GS34" s="212"/>
      <c r="GT34" s="213"/>
      <c r="GU34" s="218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J34" s="213"/>
      <c r="HK34" s="212"/>
      <c r="HL34" s="212"/>
      <c r="HM34" s="212"/>
      <c r="HN34" s="212"/>
      <c r="HO34" s="212"/>
      <c r="HP34" s="212"/>
      <c r="HQ34" s="212"/>
      <c r="HR34" s="212"/>
      <c r="HS34" s="212"/>
      <c r="HT34" s="212"/>
      <c r="HU34" s="212"/>
      <c r="HV34" s="212"/>
    </row>
    <row r="35" spans="1:230" ht="30" customHeight="1" x14ac:dyDescent="0.15">
      <c r="A35" s="223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41"/>
      <c r="BM35" s="82"/>
      <c r="BN35" s="82"/>
      <c r="BO35" s="83"/>
      <c r="BP35" s="82"/>
      <c r="BQ35" s="82"/>
      <c r="BR35" s="82"/>
      <c r="BS35" s="82"/>
      <c r="BT35" s="241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41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41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41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6"/>
      <c r="FH35" s="82"/>
      <c r="FI35" s="82"/>
      <c r="FJ35" s="82"/>
      <c r="FK35" s="82"/>
      <c r="FL35" s="82"/>
      <c r="FM35" s="82"/>
      <c r="FN35" s="186"/>
      <c r="FO35" s="199"/>
      <c r="FP35" s="198"/>
      <c r="FQ35" s="186"/>
      <c r="FR35" s="186"/>
      <c r="FS35" s="82"/>
      <c r="FT35" s="82"/>
      <c r="FU35" s="82"/>
      <c r="FV35" s="82"/>
      <c r="FW35" s="82"/>
      <c r="FX35" s="82"/>
      <c r="FY35" s="82"/>
      <c r="FZ35" s="82"/>
      <c r="GA35" s="82"/>
      <c r="GB35" s="186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208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23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41"/>
      <c r="BM36" s="82"/>
      <c r="BN36" s="82"/>
      <c r="BO36" s="83"/>
      <c r="BP36" s="82"/>
      <c r="BQ36" s="82"/>
      <c r="BR36" s="82"/>
      <c r="BS36" s="82"/>
      <c r="BT36" s="241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41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41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41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6"/>
      <c r="FH36" s="82"/>
      <c r="FI36" s="82"/>
      <c r="FJ36" s="82"/>
      <c r="FK36" s="82"/>
      <c r="FL36" s="82"/>
      <c r="FM36" s="82"/>
      <c r="FN36" s="186"/>
      <c r="FO36" s="199"/>
      <c r="FP36" s="198"/>
      <c r="FQ36" s="186"/>
      <c r="FR36" s="186"/>
      <c r="FS36" s="82"/>
      <c r="FT36" s="82"/>
      <c r="FU36" s="82"/>
      <c r="FV36" s="82"/>
      <c r="FW36" s="82"/>
      <c r="FX36" s="82"/>
      <c r="FY36" s="82"/>
      <c r="FZ36" s="82"/>
      <c r="GA36" s="82"/>
      <c r="GB36" s="186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208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23"/>
      <c r="B37" s="76">
        <f t="shared" si="20"/>
        <v>28</v>
      </c>
      <c r="C37" s="93"/>
      <c r="D37" s="93" t="s">
        <v>31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45924</v>
      </c>
      <c r="Q37" s="91">
        <v>45926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41"/>
      <c r="BM37" s="82"/>
      <c r="BN37" s="82"/>
      <c r="BO37" s="83"/>
      <c r="BP37" s="82"/>
      <c r="BQ37" s="82"/>
      <c r="BR37" s="82"/>
      <c r="BS37" s="82"/>
      <c r="BT37" s="241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41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41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41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6"/>
      <c r="FH37" s="82"/>
      <c r="FI37" s="82"/>
      <c r="FJ37" s="82"/>
      <c r="FK37" s="82"/>
      <c r="FL37" s="82"/>
      <c r="FM37" s="82"/>
      <c r="FN37" s="186"/>
      <c r="FO37" s="199"/>
      <c r="FP37" s="198"/>
      <c r="FQ37" s="186"/>
      <c r="FR37" s="186"/>
      <c r="FS37" s="82"/>
      <c r="FT37" s="82"/>
      <c r="FU37" s="82"/>
      <c r="FV37" s="82"/>
      <c r="FW37" s="82"/>
      <c r="FX37" s="82"/>
      <c r="FY37" s="82"/>
      <c r="FZ37" s="82"/>
      <c r="GA37" s="82"/>
      <c r="GB37" s="186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208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23"/>
      <c r="B38" s="76">
        <f t="shared" si="20"/>
        <v>29</v>
      </c>
      <c r="C38" s="93"/>
      <c r="D38" s="93" t="s">
        <v>32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45929</v>
      </c>
      <c r="Q38" s="91">
        <v>45933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41"/>
      <c r="BM38" s="82"/>
      <c r="BN38" s="82"/>
      <c r="BO38" s="83"/>
      <c r="BP38" s="82"/>
      <c r="BQ38" s="82"/>
      <c r="BR38" s="82"/>
      <c r="BS38" s="82"/>
      <c r="BT38" s="241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41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41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41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6"/>
      <c r="FH38" s="82"/>
      <c r="FI38" s="82"/>
      <c r="FJ38" s="82"/>
      <c r="FK38" s="82"/>
      <c r="FL38" s="82"/>
      <c r="FM38" s="82"/>
      <c r="FN38" s="186"/>
      <c r="FO38" s="199"/>
      <c r="FP38" s="198"/>
      <c r="FQ38" s="186"/>
      <c r="FR38" s="186"/>
      <c r="FS38" s="82"/>
      <c r="FT38" s="82"/>
      <c r="FU38" s="82"/>
      <c r="FV38" s="82"/>
      <c r="FW38" s="82"/>
      <c r="FX38" s="82"/>
      <c r="FY38" s="82"/>
      <c r="FZ38" s="82"/>
      <c r="GA38" s="82"/>
      <c r="GB38" s="186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208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23"/>
      <c r="B39" s="76">
        <f t="shared" si="20"/>
        <v>30</v>
      </c>
      <c r="C39" s="93"/>
      <c r="D39" s="93" t="s">
        <v>33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45936</v>
      </c>
      <c r="Q39" s="91">
        <v>45940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41"/>
      <c r="BM39" s="82"/>
      <c r="BN39" s="82"/>
      <c r="BO39" s="83"/>
      <c r="BP39" s="82"/>
      <c r="BQ39" s="82"/>
      <c r="BR39" s="82"/>
      <c r="BS39" s="82"/>
      <c r="BT39" s="241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41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41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41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6"/>
      <c r="FH39" s="82"/>
      <c r="FI39" s="82"/>
      <c r="FJ39" s="82"/>
      <c r="FK39" s="82"/>
      <c r="FL39" s="82"/>
      <c r="FM39" s="82"/>
      <c r="FN39" s="186"/>
      <c r="FO39" s="199"/>
      <c r="FP39" s="198"/>
      <c r="FQ39" s="186"/>
      <c r="FR39" s="186"/>
      <c r="FS39" s="82"/>
      <c r="FT39" s="82"/>
      <c r="FU39" s="82"/>
      <c r="FV39" s="82"/>
      <c r="FW39" s="82"/>
      <c r="FX39" s="82"/>
      <c r="FY39" s="82"/>
      <c r="FZ39" s="82"/>
      <c r="GA39" s="82"/>
      <c r="GB39" s="186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208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19" customFormat="1" ht="30" customHeight="1" x14ac:dyDescent="0.15">
      <c r="A40" s="223"/>
      <c r="B40" s="76">
        <f t="shared" si="20"/>
        <v>31</v>
      </c>
      <c r="C40" s="220"/>
      <c r="D40" s="93" t="s">
        <v>34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45944</v>
      </c>
      <c r="Q40" s="91">
        <v>45947</v>
      </c>
      <c r="R40" s="210"/>
      <c r="S40" s="211"/>
      <c r="T40" s="212"/>
      <c r="U40" s="212"/>
      <c r="V40" s="212"/>
      <c r="W40" s="212"/>
      <c r="X40" s="212"/>
      <c r="Y40" s="213"/>
      <c r="Z40" s="213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3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3"/>
      <c r="AX40" s="214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42"/>
      <c r="BM40" s="212"/>
      <c r="BN40" s="212"/>
      <c r="BO40" s="213"/>
      <c r="BP40" s="212"/>
      <c r="BQ40" s="212"/>
      <c r="BR40" s="212"/>
      <c r="BS40" s="212"/>
      <c r="BT40" s="242"/>
      <c r="BU40" s="212"/>
      <c r="BV40" s="212"/>
      <c r="BW40" s="212"/>
      <c r="BX40" s="212"/>
      <c r="BY40" s="212"/>
      <c r="BZ40" s="212"/>
      <c r="CA40" s="213"/>
      <c r="CB40" s="214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42"/>
      <c r="CO40" s="212"/>
      <c r="CP40" s="212"/>
      <c r="CQ40" s="212"/>
      <c r="CR40" s="212"/>
      <c r="CS40" s="212"/>
      <c r="CT40" s="213"/>
      <c r="CU40" s="212"/>
      <c r="CV40" s="212"/>
      <c r="CW40" s="212"/>
      <c r="CX40" s="212"/>
      <c r="CY40" s="212"/>
      <c r="CZ40" s="212"/>
      <c r="DA40" s="212"/>
      <c r="DB40" s="212"/>
      <c r="DC40" s="212"/>
      <c r="DD40" s="212"/>
      <c r="DE40" s="212"/>
      <c r="DF40" s="213"/>
      <c r="DG40" s="214"/>
      <c r="DH40" s="212"/>
      <c r="DI40" s="242"/>
      <c r="DJ40" s="212"/>
      <c r="DK40" s="212"/>
      <c r="DL40" s="212"/>
      <c r="DM40" s="212"/>
      <c r="DN40" s="212"/>
      <c r="DO40" s="212"/>
      <c r="DP40" s="212"/>
      <c r="DQ40" s="212"/>
      <c r="DR40" s="212"/>
      <c r="DS40" s="212"/>
      <c r="DT40" s="212"/>
      <c r="DU40" s="212"/>
      <c r="DV40" s="212"/>
      <c r="DW40" s="212"/>
      <c r="DX40" s="212"/>
      <c r="DY40" s="213"/>
      <c r="DZ40" s="212"/>
      <c r="EA40" s="212"/>
      <c r="EB40" s="212"/>
      <c r="EC40" s="212"/>
      <c r="ED40" s="242"/>
      <c r="EE40" s="212"/>
      <c r="EF40" s="212"/>
      <c r="EG40" s="212"/>
      <c r="EH40" s="212"/>
      <c r="EI40" s="212"/>
      <c r="EJ40" s="213"/>
      <c r="EK40" s="214"/>
      <c r="EL40" s="212"/>
      <c r="EM40" s="212"/>
      <c r="EN40" s="212"/>
      <c r="EO40" s="212"/>
      <c r="EP40" s="212"/>
      <c r="EQ40" s="212"/>
      <c r="ER40" s="212"/>
      <c r="ES40" s="212"/>
      <c r="ET40" s="212"/>
      <c r="EU40" s="212"/>
      <c r="EV40" s="212"/>
      <c r="EW40" s="212"/>
      <c r="EX40" s="212"/>
      <c r="EY40" s="212"/>
      <c r="EZ40" s="212"/>
      <c r="FA40" s="212"/>
      <c r="FB40" s="212"/>
      <c r="FC40" s="213"/>
      <c r="FD40" s="212"/>
      <c r="FE40" s="212"/>
      <c r="FF40" s="212"/>
      <c r="FG40" s="215"/>
      <c r="FH40" s="212"/>
      <c r="FI40" s="212"/>
      <c r="FJ40" s="212"/>
      <c r="FK40" s="212"/>
      <c r="FL40" s="212"/>
      <c r="FM40" s="212"/>
      <c r="FN40" s="215"/>
      <c r="FO40" s="216"/>
      <c r="FP40" s="217"/>
      <c r="FQ40" s="215"/>
      <c r="FR40" s="215"/>
      <c r="FS40" s="212"/>
      <c r="FT40" s="212"/>
      <c r="FU40" s="212"/>
      <c r="FV40" s="212"/>
      <c r="FW40" s="212"/>
      <c r="FX40" s="212"/>
      <c r="FY40" s="212"/>
      <c r="FZ40" s="212"/>
      <c r="GA40" s="212"/>
      <c r="GB40" s="215"/>
      <c r="GC40" s="212"/>
      <c r="GD40" s="212"/>
      <c r="GE40" s="212"/>
      <c r="GF40" s="212"/>
      <c r="GG40" s="213"/>
      <c r="GH40" s="212"/>
      <c r="GI40" s="212"/>
      <c r="GJ40" s="212"/>
      <c r="GK40" s="212"/>
      <c r="GL40" s="212"/>
      <c r="GM40" s="212"/>
      <c r="GN40" s="212"/>
      <c r="GO40" s="212"/>
      <c r="GP40" s="212"/>
      <c r="GQ40" s="212"/>
      <c r="GR40" s="212"/>
      <c r="GS40" s="212"/>
      <c r="GT40" s="213"/>
      <c r="GU40" s="218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J40" s="213"/>
      <c r="HK40" s="212"/>
      <c r="HL40" s="212"/>
      <c r="HM40" s="212"/>
      <c r="HN40" s="212"/>
      <c r="HO40" s="212"/>
      <c r="HP40" s="212"/>
      <c r="HQ40" s="212"/>
      <c r="HR40" s="212"/>
      <c r="HS40" s="212"/>
      <c r="HT40" s="212"/>
      <c r="HU40" s="212"/>
      <c r="HV40" s="212"/>
    </row>
    <row r="41" spans="1:230" s="219" customFormat="1" ht="30" customHeight="1" x14ac:dyDescent="0.15">
      <c r="A41" s="223"/>
      <c r="B41" s="76">
        <f t="shared" si="20"/>
        <v>32</v>
      </c>
      <c r="C41" s="220"/>
      <c r="D41" s="93" t="s">
        <v>35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45950</v>
      </c>
      <c r="Q41" s="91">
        <v>45954</v>
      </c>
      <c r="R41" s="210"/>
      <c r="S41" s="211"/>
      <c r="T41" s="212"/>
      <c r="U41" s="212"/>
      <c r="V41" s="212"/>
      <c r="W41" s="212"/>
      <c r="X41" s="212"/>
      <c r="Y41" s="213"/>
      <c r="Z41" s="213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3"/>
      <c r="AL41" s="212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3"/>
      <c r="AX41" s="214"/>
      <c r="AY41" s="212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42"/>
      <c r="BM41" s="212"/>
      <c r="BN41" s="212"/>
      <c r="BO41" s="213"/>
      <c r="BP41" s="212"/>
      <c r="BQ41" s="212"/>
      <c r="BR41" s="212"/>
      <c r="BS41" s="212"/>
      <c r="BT41" s="242"/>
      <c r="BU41" s="212"/>
      <c r="BV41" s="212"/>
      <c r="BW41" s="212"/>
      <c r="BX41" s="212"/>
      <c r="BY41" s="212"/>
      <c r="BZ41" s="212"/>
      <c r="CA41" s="213"/>
      <c r="CB41" s="214"/>
      <c r="CC41" s="212"/>
      <c r="CD41" s="212"/>
      <c r="CE41" s="212"/>
      <c r="CF41" s="212"/>
      <c r="CG41" s="212"/>
      <c r="CH41" s="212"/>
      <c r="CI41" s="212"/>
      <c r="CJ41" s="212"/>
      <c r="CK41" s="212"/>
      <c r="CL41" s="212"/>
      <c r="CM41" s="212"/>
      <c r="CN41" s="242"/>
      <c r="CO41" s="212"/>
      <c r="CP41" s="212"/>
      <c r="CQ41" s="212"/>
      <c r="CR41" s="212"/>
      <c r="CS41" s="212"/>
      <c r="CT41" s="213"/>
      <c r="CU41" s="212"/>
      <c r="CV41" s="212"/>
      <c r="CW41" s="212"/>
      <c r="CX41" s="212"/>
      <c r="CY41" s="212"/>
      <c r="CZ41" s="212"/>
      <c r="DA41" s="212"/>
      <c r="DB41" s="212"/>
      <c r="DC41" s="212"/>
      <c r="DD41" s="212"/>
      <c r="DE41" s="212"/>
      <c r="DF41" s="213"/>
      <c r="DG41" s="214"/>
      <c r="DH41" s="212"/>
      <c r="DI41" s="242"/>
      <c r="DJ41" s="212"/>
      <c r="DK41" s="212"/>
      <c r="DL41" s="212"/>
      <c r="DM41" s="212"/>
      <c r="DN41" s="212"/>
      <c r="DO41" s="212"/>
      <c r="DP41" s="212"/>
      <c r="DQ41" s="212"/>
      <c r="DR41" s="212"/>
      <c r="DS41" s="212"/>
      <c r="DT41" s="212"/>
      <c r="DU41" s="212"/>
      <c r="DV41" s="212"/>
      <c r="DW41" s="212"/>
      <c r="DX41" s="212"/>
      <c r="DY41" s="213"/>
      <c r="DZ41" s="212"/>
      <c r="EA41" s="212"/>
      <c r="EB41" s="212"/>
      <c r="EC41" s="212"/>
      <c r="ED41" s="242"/>
      <c r="EE41" s="212"/>
      <c r="EF41" s="212"/>
      <c r="EG41" s="212"/>
      <c r="EH41" s="212"/>
      <c r="EI41" s="212"/>
      <c r="EJ41" s="213"/>
      <c r="EK41" s="214"/>
      <c r="EL41" s="212"/>
      <c r="EM41" s="212"/>
      <c r="EN41" s="212"/>
      <c r="EO41" s="212"/>
      <c r="EP41" s="212"/>
      <c r="EQ41" s="212"/>
      <c r="ER41" s="212"/>
      <c r="ES41" s="212"/>
      <c r="ET41" s="212"/>
      <c r="EU41" s="212"/>
      <c r="EV41" s="212"/>
      <c r="EW41" s="212"/>
      <c r="EX41" s="212"/>
      <c r="EY41" s="212"/>
      <c r="EZ41" s="212"/>
      <c r="FA41" s="212"/>
      <c r="FB41" s="212"/>
      <c r="FC41" s="213"/>
      <c r="FD41" s="212"/>
      <c r="FE41" s="212"/>
      <c r="FF41" s="212"/>
      <c r="FG41" s="215"/>
      <c r="FH41" s="212"/>
      <c r="FI41" s="212"/>
      <c r="FJ41" s="212"/>
      <c r="FK41" s="212"/>
      <c r="FL41" s="212"/>
      <c r="FM41" s="212"/>
      <c r="FN41" s="215"/>
      <c r="FO41" s="216"/>
      <c r="FP41" s="217"/>
      <c r="FQ41" s="215"/>
      <c r="FR41" s="215"/>
      <c r="FS41" s="212"/>
      <c r="FT41" s="212"/>
      <c r="FU41" s="212"/>
      <c r="FV41" s="212"/>
      <c r="FW41" s="212"/>
      <c r="FX41" s="212"/>
      <c r="FY41" s="212"/>
      <c r="FZ41" s="212"/>
      <c r="GA41" s="212"/>
      <c r="GB41" s="215"/>
      <c r="GC41" s="212"/>
      <c r="GD41" s="212"/>
      <c r="GE41" s="212"/>
      <c r="GF41" s="212"/>
      <c r="GG41" s="213"/>
      <c r="GH41" s="212"/>
      <c r="GI41" s="212"/>
      <c r="GJ41" s="212"/>
      <c r="GK41" s="212"/>
      <c r="GL41" s="212"/>
      <c r="GM41" s="212"/>
      <c r="GN41" s="212"/>
      <c r="GO41" s="212"/>
      <c r="GP41" s="212"/>
      <c r="GQ41" s="212"/>
      <c r="GR41" s="212"/>
      <c r="GS41" s="212"/>
      <c r="GT41" s="213"/>
      <c r="GU41" s="218"/>
      <c r="GV41" s="212"/>
      <c r="GW41" s="212"/>
      <c r="GX41" s="212"/>
      <c r="GY41" s="212"/>
      <c r="GZ41" s="212"/>
      <c r="HA41" s="212"/>
      <c r="HB41" s="212"/>
      <c r="HC41" s="212"/>
      <c r="HD41" s="212"/>
      <c r="HE41" s="212"/>
      <c r="HF41" s="212"/>
      <c r="HG41" s="212"/>
      <c r="HH41" s="212"/>
      <c r="HI41" s="212"/>
      <c r="HJ41" s="213"/>
      <c r="HK41" s="212"/>
      <c r="HL41" s="212"/>
      <c r="HM41" s="212"/>
      <c r="HN41" s="212"/>
      <c r="HO41" s="212"/>
      <c r="HP41" s="212"/>
      <c r="HQ41" s="212"/>
      <c r="HR41" s="212"/>
      <c r="HS41" s="212"/>
      <c r="HT41" s="212"/>
      <c r="HU41" s="212"/>
      <c r="HV41" s="212"/>
    </row>
    <row r="42" spans="1:230" s="219" customFormat="1" ht="30" customHeight="1" x14ac:dyDescent="0.15">
      <c r="A42" s="223"/>
      <c r="B42" s="76"/>
      <c r="C42" s="220"/>
      <c r="D42" s="93" t="s">
        <v>49</v>
      </c>
      <c r="E42" s="93"/>
      <c r="F42" s="168"/>
      <c r="G42" s="96"/>
      <c r="H42" s="164"/>
      <c r="I42" s="163"/>
      <c r="J42" s="77"/>
      <c r="K42" s="77" t="s">
        <v>46</v>
      </c>
      <c r="L42" s="85"/>
      <c r="M42" s="78"/>
      <c r="N42" s="91"/>
      <c r="O42" s="86">
        <v>0</v>
      </c>
      <c r="P42" s="78">
        <v>45957</v>
      </c>
      <c r="Q42" s="91">
        <v>45958</v>
      </c>
      <c r="R42" s="210"/>
      <c r="S42" s="211"/>
      <c r="T42" s="212"/>
      <c r="U42" s="212"/>
      <c r="V42" s="212"/>
      <c r="W42" s="212"/>
      <c r="X42" s="212"/>
      <c r="Y42" s="213"/>
      <c r="Z42" s="213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3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3"/>
      <c r="AX42" s="214"/>
      <c r="AY42" s="212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42"/>
      <c r="BM42" s="212"/>
      <c r="BN42" s="212"/>
      <c r="BO42" s="213"/>
      <c r="BP42" s="212"/>
      <c r="BQ42" s="212"/>
      <c r="BR42" s="212"/>
      <c r="BS42" s="212"/>
      <c r="BT42" s="242"/>
      <c r="BU42" s="212"/>
      <c r="BV42" s="212"/>
      <c r="BW42" s="212"/>
      <c r="BX42" s="212"/>
      <c r="BY42" s="212"/>
      <c r="BZ42" s="212"/>
      <c r="CA42" s="213"/>
      <c r="CB42" s="214"/>
      <c r="CC42" s="212"/>
      <c r="CD42" s="212"/>
      <c r="CE42" s="212"/>
      <c r="CF42" s="212"/>
      <c r="CG42" s="212"/>
      <c r="CH42" s="212"/>
      <c r="CI42" s="212"/>
      <c r="CJ42" s="212"/>
      <c r="CK42" s="212"/>
      <c r="CL42" s="212"/>
      <c r="CM42" s="212"/>
      <c r="CN42" s="242"/>
      <c r="CO42" s="212"/>
      <c r="CP42" s="212"/>
      <c r="CQ42" s="212"/>
      <c r="CR42" s="212"/>
      <c r="CS42" s="212"/>
      <c r="CT42" s="213"/>
      <c r="CU42" s="212"/>
      <c r="CV42" s="212"/>
      <c r="CW42" s="212"/>
      <c r="CX42" s="212"/>
      <c r="CY42" s="212"/>
      <c r="CZ42" s="212"/>
      <c r="DA42" s="212"/>
      <c r="DB42" s="212"/>
      <c r="DC42" s="212"/>
      <c r="DD42" s="212"/>
      <c r="DE42" s="212"/>
      <c r="DF42" s="213"/>
      <c r="DG42" s="214"/>
      <c r="DH42" s="212"/>
      <c r="DI42" s="242"/>
      <c r="DJ42" s="212"/>
      <c r="DK42" s="212"/>
      <c r="DL42" s="212"/>
      <c r="DM42" s="212"/>
      <c r="DN42" s="212"/>
      <c r="DO42" s="212"/>
      <c r="DP42" s="212"/>
      <c r="DQ42" s="212"/>
      <c r="DR42" s="212"/>
      <c r="DS42" s="212"/>
      <c r="DT42" s="212"/>
      <c r="DU42" s="212"/>
      <c r="DV42" s="212"/>
      <c r="DW42" s="212"/>
      <c r="DX42" s="212"/>
      <c r="DY42" s="213"/>
      <c r="DZ42" s="212"/>
      <c r="EA42" s="212"/>
      <c r="EB42" s="212"/>
      <c r="EC42" s="212"/>
      <c r="ED42" s="242"/>
      <c r="EE42" s="212"/>
      <c r="EF42" s="212"/>
      <c r="EG42" s="212"/>
      <c r="EH42" s="212"/>
      <c r="EI42" s="212"/>
      <c r="EJ42" s="213"/>
      <c r="EK42" s="214"/>
      <c r="EL42" s="212"/>
      <c r="EM42" s="212"/>
      <c r="EN42" s="212"/>
      <c r="EO42" s="212"/>
      <c r="EP42" s="212"/>
      <c r="EQ42" s="212"/>
      <c r="ER42" s="212"/>
      <c r="ES42" s="212"/>
      <c r="ET42" s="212"/>
      <c r="EU42" s="212"/>
      <c r="EV42" s="212"/>
      <c r="EW42" s="212"/>
      <c r="EX42" s="212"/>
      <c r="EY42" s="212"/>
      <c r="EZ42" s="212"/>
      <c r="FA42" s="212"/>
      <c r="FB42" s="212"/>
      <c r="FC42" s="213"/>
      <c r="FD42" s="212"/>
      <c r="FE42" s="212"/>
      <c r="FF42" s="212"/>
      <c r="FG42" s="215"/>
      <c r="FH42" s="212"/>
      <c r="FI42" s="212"/>
      <c r="FJ42" s="212"/>
      <c r="FK42" s="212"/>
      <c r="FL42" s="212"/>
      <c r="FM42" s="212"/>
      <c r="FN42" s="215"/>
      <c r="FO42" s="216"/>
      <c r="FP42" s="217"/>
      <c r="FQ42" s="215"/>
      <c r="FR42" s="215"/>
      <c r="FS42" s="212"/>
      <c r="FT42" s="212"/>
      <c r="FU42" s="212"/>
      <c r="FV42" s="212"/>
      <c r="FW42" s="212"/>
      <c r="FX42" s="212"/>
      <c r="FY42" s="212"/>
      <c r="FZ42" s="212"/>
      <c r="GA42" s="212"/>
      <c r="GB42" s="215"/>
      <c r="GC42" s="212"/>
      <c r="GD42" s="212"/>
      <c r="GE42" s="212"/>
      <c r="GF42" s="212"/>
      <c r="GG42" s="213"/>
      <c r="GH42" s="212"/>
      <c r="GI42" s="212"/>
      <c r="GJ42" s="212"/>
      <c r="GK42" s="212"/>
      <c r="GL42" s="212"/>
      <c r="GM42" s="212"/>
      <c r="GN42" s="212"/>
      <c r="GO42" s="212"/>
      <c r="GP42" s="212"/>
      <c r="GQ42" s="212"/>
      <c r="GR42" s="212"/>
      <c r="GS42" s="212"/>
      <c r="GT42" s="213"/>
      <c r="GU42" s="218"/>
      <c r="GV42" s="212"/>
      <c r="GW42" s="212"/>
      <c r="GX42" s="212"/>
      <c r="GY42" s="212"/>
      <c r="GZ42" s="212"/>
      <c r="HA42" s="212"/>
      <c r="HB42" s="212"/>
      <c r="HC42" s="212"/>
      <c r="HD42" s="212"/>
      <c r="HE42" s="212"/>
      <c r="HF42" s="212"/>
      <c r="HG42" s="212"/>
      <c r="HH42" s="212"/>
      <c r="HI42" s="212"/>
      <c r="HJ42" s="213"/>
      <c r="HK42" s="212"/>
      <c r="HL42" s="212"/>
      <c r="HM42" s="212"/>
      <c r="HN42" s="212"/>
      <c r="HO42" s="212"/>
      <c r="HP42" s="212"/>
      <c r="HQ42" s="212"/>
      <c r="HR42" s="212"/>
      <c r="HS42" s="212"/>
      <c r="HT42" s="212"/>
      <c r="HU42" s="212"/>
      <c r="HV42" s="212"/>
    </row>
    <row r="43" spans="1:230" ht="30" customHeight="1" x14ac:dyDescent="0.15">
      <c r="A43" s="223"/>
      <c r="B43" s="76">
        <f t="shared" si="20"/>
        <v>34</v>
      </c>
      <c r="C43" s="97"/>
      <c r="D43" s="234"/>
      <c r="E43" s="97"/>
      <c r="F43" s="95"/>
      <c r="G43" s="96"/>
      <c r="H43" s="164"/>
      <c r="I43" s="163"/>
      <c r="J43" s="77"/>
      <c r="K43" s="77"/>
      <c r="L43" s="85"/>
      <c r="M43" s="78"/>
      <c r="N43" s="91"/>
      <c r="O43" s="86">
        <v>0</v>
      </c>
      <c r="P43" s="78"/>
      <c r="Q43" s="79"/>
      <c r="R43" s="80"/>
      <c r="S43" s="81"/>
      <c r="T43" s="82"/>
      <c r="U43" s="82"/>
      <c r="V43" s="82"/>
      <c r="W43" s="82"/>
      <c r="X43" s="82"/>
      <c r="Y43" s="83"/>
      <c r="Z43" s="83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3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3"/>
      <c r="AX43" s="84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241"/>
      <c r="BM43" s="82"/>
      <c r="BN43" s="82"/>
      <c r="BO43" s="83"/>
      <c r="BP43" s="82"/>
      <c r="BQ43" s="82"/>
      <c r="BR43" s="82"/>
      <c r="BS43" s="82"/>
      <c r="BT43" s="241"/>
      <c r="BU43" s="82"/>
      <c r="BV43" s="82"/>
      <c r="BW43" s="82"/>
      <c r="BX43" s="82"/>
      <c r="BY43" s="82"/>
      <c r="BZ43" s="82"/>
      <c r="CA43" s="83"/>
      <c r="CB43" s="84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241"/>
      <c r="CO43" s="82"/>
      <c r="CP43" s="82"/>
      <c r="CQ43" s="82"/>
      <c r="CR43" s="82"/>
      <c r="CS43" s="82"/>
      <c r="CT43" s="83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3"/>
      <c r="DG43" s="84"/>
      <c r="DH43" s="82"/>
      <c r="DI43" s="241"/>
      <c r="DJ43" s="82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3"/>
      <c r="DZ43" s="82"/>
      <c r="EA43" s="82"/>
      <c r="EB43" s="82"/>
      <c r="EC43" s="82"/>
      <c r="ED43" s="241"/>
      <c r="EE43" s="82"/>
      <c r="EF43" s="82"/>
      <c r="EG43" s="82"/>
      <c r="EH43" s="82"/>
      <c r="EI43" s="82"/>
      <c r="EJ43" s="83"/>
      <c r="EK43" s="84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3"/>
      <c r="FD43" s="82"/>
      <c r="FE43" s="82"/>
      <c r="FF43" s="82"/>
      <c r="FG43" s="186"/>
      <c r="FH43" s="82"/>
      <c r="FI43" s="82"/>
      <c r="FJ43" s="82"/>
      <c r="FK43" s="82"/>
      <c r="FL43" s="82"/>
      <c r="FM43" s="82"/>
      <c r="FN43" s="186"/>
      <c r="FO43" s="199"/>
      <c r="FP43" s="198"/>
      <c r="FQ43" s="186"/>
      <c r="FR43" s="186"/>
      <c r="FS43" s="82"/>
      <c r="FT43" s="82"/>
      <c r="FU43" s="82"/>
      <c r="FV43" s="82"/>
      <c r="FW43" s="82"/>
      <c r="FX43" s="82"/>
      <c r="FY43" s="82"/>
      <c r="FZ43" s="82"/>
      <c r="GA43" s="82"/>
      <c r="GB43" s="186"/>
      <c r="GC43" s="82"/>
      <c r="GD43" s="82"/>
      <c r="GE43" s="82"/>
      <c r="GF43" s="82"/>
      <c r="GG43" s="83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3"/>
      <c r="GU43" s="208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3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</row>
    <row r="44" spans="1:230" ht="30" customHeight="1" x14ac:dyDescent="0.15">
      <c r="A44" s="223"/>
      <c r="B44" s="76">
        <f t="shared" si="20"/>
        <v>35</v>
      </c>
      <c r="C44" s="93" t="s">
        <v>42</v>
      </c>
      <c r="D44" s="5"/>
      <c r="E44" s="93"/>
      <c r="F44" s="168"/>
      <c r="G44" s="96" t="s">
        <v>48</v>
      </c>
      <c r="H44" s="227"/>
      <c r="I44" s="228"/>
      <c r="J44" s="229" t="s">
        <v>45</v>
      </c>
      <c r="K44" s="229" t="s">
        <v>46</v>
      </c>
      <c r="L44" s="230"/>
      <c r="M44" s="231"/>
      <c r="N44" s="232"/>
      <c r="O44" s="233">
        <v>0</v>
      </c>
      <c r="P44" s="231">
        <v>45962</v>
      </c>
      <c r="Q44" s="232">
        <v>45978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41"/>
      <c r="BM44" s="82"/>
      <c r="BN44" s="82"/>
      <c r="BO44" s="83"/>
      <c r="BP44" s="82"/>
      <c r="BQ44" s="82"/>
      <c r="BR44" s="82"/>
      <c r="BS44" s="82"/>
      <c r="BT44" s="241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41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41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41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6"/>
      <c r="FH44" s="82"/>
      <c r="FI44" s="82"/>
      <c r="FJ44" s="82"/>
      <c r="FK44" s="82"/>
      <c r="FL44" s="82"/>
      <c r="FM44" s="82"/>
      <c r="FN44" s="186"/>
      <c r="FO44" s="199"/>
      <c r="FP44" s="198"/>
      <c r="FQ44" s="186"/>
      <c r="FR44" s="186"/>
      <c r="FS44" s="82"/>
      <c r="FT44" s="82"/>
      <c r="FU44" s="82"/>
      <c r="FV44" s="82"/>
      <c r="FW44" s="82"/>
      <c r="FX44" s="82"/>
      <c r="FY44" s="82"/>
      <c r="FZ44" s="82"/>
      <c r="GA44" s="82"/>
      <c r="GB44" s="186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208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B45" s="76">
        <f t="shared" si="20"/>
        <v>36</v>
      </c>
      <c r="C45" s="93"/>
      <c r="D45" s="93"/>
      <c r="E45" s="93"/>
      <c r="F45" s="168"/>
      <c r="G45" s="96"/>
      <c r="H45" s="164"/>
      <c r="I45" s="163"/>
      <c r="J45" s="77"/>
      <c r="K45" s="77" t="s">
        <v>46</v>
      </c>
      <c r="L45" s="85"/>
      <c r="M45" s="78"/>
      <c r="N45" s="91"/>
      <c r="O45" s="86">
        <v>0</v>
      </c>
      <c r="P45" s="78"/>
      <c r="Q45" s="91"/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41"/>
      <c r="BM45" s="82"/>
      <c r="BN45" s="82"/>
      <c r="BO45" s="83"/>
      <c r="BP45" s="82"/>
      <c r="BQ45" s="82"/>
      <c r="BR45" s="82"/>
      <c r="BS45" s="82"/>
      <c r="BT45" s="241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41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41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41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6"/>
      <c r="FH45" s="82"/>
      <c r="FI45" s="82"/>
      <c r="FJ45" s="82"/>
      <c r="FK45" s="82"/>
      <c r="FL45" s="82"/>
      <c r="FM45" s="82"/>
      <c r="FN45" s="186"/>
      <c r="FO45" s="199"/>
      <c r="FP45" s="198"/>
      <c r="FQ45" s="186"/>
      <c r="FR45" s="186"/>
      <c r="FS45" s="82"/>
      <c r="FT45" s="82"/>
      <c r="FU45" s="82"/>
      <c r="FV45" s="82"/>
      <c r="FW45" s="82"/>
      <c r="FX45" s="82"/>
      <c r="FY45" s="82"/>
      <c r="FZ45" s="82"/>
      <c r="GA45" s="82"/>
      <c r="GB45" s="186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208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B46" s="76">
        <f t="shared" si="20"/>
        <v>37</v>
      </c>
      <c r="C46" s="93"/>
      <c r="D46" s="93"/>
      <c r="E46" s="93"/>
      <c r="F46" s="168"/>
      <c r="G46" s="96"/>
      <c r="H46" s="164"/>
      <c r="I46" s="163"/>
      <c r="J46" s="77" t="s">
        <v>45</v>
      </c>
      <c r="K46" s="77" t="s">
        <v>46</v>
      </c>
      <c r="L46" s="85"/>
      <c r="M46" s="78"/>
      <c r="N46" s="91"/>
      <c r="O46" s="86">
        <v>0</v>
      </c>
      <c r="P46" s="78">
        <v>45978</v>
      </c>
      <c r="Q46" s="91">
        <v>45991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41"/>
      <c r="BM46" s="82"/>
      <c r="BN46" s="82"/>
      <c r="BO46" s="83"/>
      <c r="BP46" s="82"/>
      <c r="BQ46" s="82"/>
      <c r="BR46" s="82"/>
      <c r="BS46" s="82"/>
      <c r="BT46" s="241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41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41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41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6"/>
      <c r="FH46" s="82"/>
      <c r="FI46" s="82"/>
      <c r="FJ46" s="82"/>
      <c r="FK46" s="82"/>
      <c r="FL46" s="82"/>
      <c r="FM46" s="82"/>
      <c r="FN46" s="186"/>
      <c r="FO46" s="199"/>
      <c r="FP46" s="198"/>
      <c r="FQ46" s="186"/>
      <c r="FR46" s="186"/>
      <c r="FS46" s="82"/>
      <c r="FT46" s="82"/>
      <c r="FU46" s="82"/>
      <c r="FV46" s="82"/>
      <c r="FW46" s="82"/>
      <c r="FX46" s="82"/>
      <c r="FY46" s="82"/>
      <c r="FZ46" s="82"/>
      <c r="GA46" s="82"/>
      <c r="GB46" s="186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208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A47" s="221"/>
      <c r="B47" s="76">
        <f t="shared" si="20"/>
        <v>38</v>
      </c>
      <c r="C47" s="93"/>
      <c r="D47" s="94"/>
      <c r="E47" s="94"/>
      <c r="F47" s="95"/>
      <c r="G47" s="96"/>
      <c r="H47" s="164"/>
      <c r="I47" s="163"/>
      <c r="J47" s="77"/>
      <c r="K47" s="77"/>
      <c r="L47" s="85"/>
      <c r="M47" s="78"/>
      <c r="N47" s="91"/>
      <c r="O47" s="86">
        <v>0</v>
      </c>
      <c r="P47" s="78"/>
      <c r="Q47" s="91"/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41"/>
      <c r="BM47" s="82"/>
      <c r="BN47" s="82"/>
      <c r="BO47" s="83"/>
      <c r="BP47" s="82"/>
      <c r="BQ47" s="82"/>
      <c r="BR47" s="82"/>
      <c r="BS47" s="82"/>
      <c r="BT47" s="241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41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41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41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6"/>
      <c r="FH47" s="82"/>
      <c r="FI47" s="82"/>
      <c r="FJ47" s="82"/>
      <c r="FK47" s="82"/>
      <c r="FL47" s="82"/>
      <c r="FM47" s="82"/>
      <c r="FN47" s="186"/>
      <c r="FO47" s="199"/>
      <c r="FP47" s="198"/>
      <c r="FQ47" s="186"/>
      <c r="FR47" s="186"/>
      <c r="FS47" s="82"/>
      <c r="FT47" s="82"/>
      <c r="FU47" s="82"/>
      <c r="FV47" s="82"/>
      <c r="FW47" s="82"/>
      <c r="FX47" s="82"/>
      <c r="FY47" s="82"/>
      <c r="FZ47" s="82"/>
      <c r="GA47" s="82"/>
      <c r="GB47" s="186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208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A48" s="223"/>
      <c r="B48" s="76">
        <f t="shared" si="20"/>
        <v>39</v>
      </c>
      <c r="C48" s="93"/>
      <c r="D48" s="94"/>
      <c r="E48" s="168"/>
      <c r="F48" s="95"/>
      <c r="G48" s="96"/>
      <c r="H48" s="164"/>
      <c r="I48" s="163"/>
      <c r="J48" s="77"/>
      <c r="K48" s="77"/>
      <c r="L48" s="85"/>
      <c r="M48" s="78"/>
      <c r="N48" s="91"/>
      <c r="O48" s="86">
        <v>0</v>
      </c>
      <c r="P48" s="78"/>
      <c r="Q48" s="91"/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41"/>
      <c r="BM48" s="82"/>
      <c r="BN48" s="82"/>
      <c r="BO48" s="83"/>
      <c r="BP48" s="82"/>
      <c r="BQ48" s="82"/>
      <c r="BR48" s="82"/>
      <c r="BS48" s="82"/>
      <c r="BT48" s="241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41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41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41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6"/>
      <c r="FH48" s="82"/>
      <c r="FI48" s="82"/>
      <c r="FJ48" s="82"/>
      <c r="FK48" s="82"/>
      <c r="FL48" s="82"/>
      <c r="FM48" s="82"/>
      <c r="FN48" s="186"/>
      <c r="FO48" s="199"/>
      <c r="FP48" s="198"/>
      <c r="FQ48" s="186"/>
      <c r="FR48" s="186"/>
      <c r="FS48" s="82"/>
      <c r="FT48" s="82"/>
      <c r="FU48" s="82"/>
      <c r="FV48" s="82"/>
      <c r="FW48" s="82"/>
      <c r="FX48" s="82"/>
      <c r="FY48" s="82"/>
      <c r="FZ48" s="82"/>
      <c r="GA48" s="82"/>
      <c r="GB48" s="186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208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21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41"/>
      <c r="BM49" s="82"/>
      <c r="BN49" s="82"/>
      <c r="BO49" s="83"/>
      <c r="BP49" s="82"/>
      <c r="BQ49" s="82"/>
      <c r="BR49" s="82"/>
      <c r="BS49" s="82"/>
      <c r="BT49" s="241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41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41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41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6"/>
      <c r="FH49" s="82"/>
      <c r="FI49" s="82"/>
      <c r="FJ49" s="82"/>
      <c r="FK49" s="82"/>
      <c r="FL49" s="82"/>
      <c r="FM49" s="82"/>
      <c r="FN49" s="186"/>
      <c r="FO49" s="199"/>
      <c r="FP49" s="198"/>
      <c r="FQ49" s="186"/>
      <c r="FR49" s="186"/>
      <c r="FS49" s="82"/>
      <c r="FT49" s="82"/>
      <c r="FU49" s="82"/>
      <c r="FV49" s="82"/>
      <c r="FW49" s="82"/>
      <c r="FX49" s="82"/>
      <c r="FY49" s="82"/>
      <c r="FZ49" s="82"/>
      <c r="GA49" s="82"/>
      <c r="GB49" s="186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208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22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/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41"/>
      <c r="BM50" s="82"/>
      <c r="BN50" s="82"/>
      <c r="BO50" s="83"/>
      <c r="BP50" s="82"/>
      <c r="BQ50" s="82"/>
      <c r="BR50" s="82"/>
      <c r="BS50" s="82"/>
      <c r="BT50" s="241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41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41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41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6"/>
      <c r="FH50" s="82"/>
      <c r="FI50" s="82"/>
      <c r="FJ50" s="82"/>
      <c r="FK50" s="82"/>
      <c r="FL50" s="82"/>
      <c r="FM50" s="82"/>
      <c r="FN50" s="186"/>
      <c r="FO50" s="199"/>
      <c r="FP50" s="198"/>
      <c r="FQ50" s="186"/>
      <c r="FR50" s="186"/>
      <c r="FS50" s="82"/>
      <c r="FT50" s="82"/>
      <c r="FU50" s="82"/>
      <c r="FV50" s="82"/>
      <c r="FW50" s="82"/>
      <c r="FX50" s="82"/>
      <c r="FY50" s="82"/>
      <c r="FZ50" s="82"/>
      <c r="GA50" s="82"/>
      <c r="GB50" s="186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208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19" customFormat="1" ht="30" customHeight="1" x14ac:dyDescent="0.15">
      <c r="A51" s="221"/>
      <c r="B51" s="76">
        <f t="shared" si="20"/>
        <v>42</v>
      </c>
      <c r="C51" s="236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210"/>
      <c r="S51" s="211"/>
      <c r="T51" s="212"/>
      <c r="U51" s="212"/>
      <c r="V51" s="212"/>
      <c r="W51" s="212"/>
      <c r="X51" s="212"/>
      <c r="Y51" s="213"/>
      <c r="Z51" s="213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3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3"/>
      <c r="AX51" s="214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42"/>
      <c r="BM51" s="212"/>
      <c r="BN51" s="212"/>
      <c r="BO51" s="213"/>
      <c r="BP51" s="212"/>
      <c r="BQ51" s="212"/>
      <c r="BR51" s="212"/>
      <c r="BS51" s="212"/>
      <c r="BT51" s="242"/>
      <c r="BU51" s="212"/>
      <c r="BV51" s="212"/>
      <c r="BW51" s="212"/>
      <c r="BX51" s="212"/>
      <c r="BY51" s="212"/>
      <c r="BZ51" s="212"/>
      <c r="CA51" s="213"/>
      <c r="CB51" s="214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42"/>
      <c r="CO51" s="212"/>
      <c r="CP51" s="212"/>
      <c r="CQ51" s="212"/>
      <c r="CR51" s="212"/>
      <c r="CS51" s="212"/>
      <c r="CT51" s="213"/>
      <c r="CU51" s="212"/>
      <c r="CV51" s="212"/>
      <c r="CW51" s="212"/>
      <c r="CX51" s="212"/>
      <c r="CY51" s="212"/>
      <c r="CZ51" s="212"/>
      <c r="DA51" s="212"/>
      <c r="DB51" s="212"/>
      <c r="DC51" s="212"/>
      <c r="DD51" s="212"/>
      <c r="DE51" s="212"/>
      <c r="DF51" s="213"/>
      <c r="DG51" s="214"/>
      <c r="DH51" s="212"/>
      <c r="DI51" s="242"/>
      <c r="DJ51" s="212"/>
      <c r="DK51" s="212"/>
      <c r="DL51" s="212"/>
      <c r="DM51" s="212"/>
      <c r="DN51" s="212"/>
      <c r="DO51" s="212"/>
      <c r="DP51" s="212"/>
      <c r="DQ51" s="212"/>
      <c r="DR51" s="212"/>
      <c r="DS51" s="212"/>
      <c r="DT51" s="212"/>
      <c r="DU51" s="212"/>
      <c r="DV51" s="212"/>
      <c r="DW51" s="212"/>
      <c r="DX51" s="212"/>
      <c r="DY51" s="213"/>
      <c r="DZ51" s="212"/>
      <c r="EA51" s="212"/>
      <c r="EB51" s="212"/>
      <c r="EC51" s="212"/>
      <c r="ED51" s="242"/>
      <c r="EE51" s="212"/>
      <c r="EF51" s="212"/>
      <c r="EG51" s="212"/>
      <c r="EH51" s="212"/>
      <c r="EI51" s="212"/>
      <c r="EJ51" s="213"/>
      <c r="EK51" s="214"/>
      <c r="EL51" s="212"/>
      <c r="EM51" s="212"/>
      <c r="EN51" s="212"/>
      <c r="EO51" s="212"/>
      <c r="EP51" s="212"/>
      <c r="EQ51" s="212"/>
      <c r="ER51" s="212"/>
      <c r="ES51" s="212"/>
      <c r="ET51" s="212"/>
      <c r="EU51" s="212"/>
      <c r="EV51" s="212"/>
      <c r="EW51" s="212"/>
      <c r="EX51" s="212"/>
      <c r="EY51" s="212"/>
      <c r="EZ51" s="212"/>
      <c r="FA51" s="212"/>
      <c r="FB51" s="212"/>
      <c r="FC51" s="213"/>
      <c r="FD51" s="212"/>
      <c r="FE51" s="212"/>
      <c r="FF51" s="212"/>
      <c r="FG51" s="215"/>
      <c r="FH51" s="212"/>
      <c r="FI51" s="212"/>
      <c r="FJ51" s="212"/>
      <c r="FK51" s="212"/>
      <c r="FL51" s="212"/>
      <c r="FM51" s="212"/>
      <c r="FN51" s="215"/>
      <c r="FO51" s="216"/>
      <c r="FP51" s="217"/>
      <c r="FQ51" s="215"/>
      <c r="FR51" s="215"/>
      <c r="FS51" s="212"/>
      <c r="FT51" s="212"/>
      <c r="FU51" s="212"/>
      <c r="FV51" s="212"/>
      <c r="FW51" s="212"/>
      <c r="FX51" s="212"/>
      <c r="FY51" s="212"/>
      <c r="FZ51" s="212"/>
      <c r="GA51" s="212"/>
      <c r="GB51" s="215"/>
      <c r="GC51" s="212"/>
      <c r="GD51" s="212"/>
      <c r="GE51" s="212"/>
      <c r="GF51" s="212"/>
      <c r="GG51" s="213"/>
      <c r="GH51" s="212"/>
      <c r="GI51" s="212"/>
      <c r="GJ51" s="212"/>
      <c r="GK51" s="212"/>
      <c r="GL51" s="212"/>
      <c r="GM51" s="212"/>
      <c r="GN51" s="212"/>
      <c r="GO51" s="212"/>
      <c r="GP51" s="212"/>
      <c r="GQ51" s="212"/>
      <c r="GR51" s="212"/>
      <c r="GS51" s="212"/>
      <c r="GT51" s="213"/>
      <c r="GU51" s="218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J51" s="213"/>
      <c r="HK51" s="212"/>
      <c r="HL51" s="212"/>
      <c r="HM51" s="212"/>
      <c r="HN51" s="212"/>
      <c r="HO51" s="212"/>
      <c r="HP51" s="212"/>
      <c r="HQ51" s="212"/>
      <c r="HR51" s="212"/>
      <c r="HS51" s="212"/>
      <c r="HT51" s="212"/>
      <c r="HU51" s="212"/>
      <c r="HV51" s="212"/>
    </row>
    <row r="52" spans="1:230" ht="30" customHeight="1" x14ac:dyDescent="0.15">
      <c r="A52" s="222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/>
      <c r="K52" s="77"/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41"/>
      <c r="BM52" s="82"/>
      <c r="BN52" s="82"/>
      <c r="BO52" s="83"/>
      <c r="BP52" s="82"/>
      <c r="BQ52" s="82"/>
      <c r="BR52" s="82"/>
      <c r="BS52" s="82"/>
      <c r="BT52" s="241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41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41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41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6"/>
      <c r="FH52" s="82"/>
      <c r="FI52" s="82"/>
      <c r="FJ52" s="82"/>
      <c r="FK52" s="82"/>
      <c r="FL52" s="82"/>
      <c r="FM52" s="82"/>
      <c r="FN52" s="186"/>
      <c r="FO52" s="199"/>
      <c r="FP52" s="198"/>
      <c r="FQ52" s="186"/>
      <c r="FR52" s="186"/>
      <c r="FS52" s="82"/>
      <c r="FT52" s="82"/>
      <c r="FU52" s="82"/>
      <c r="FV52" s="82"/>
      <c r="FW52" s="82"/>
      <c r="FX52" s="82"/>
      <c r="FY52" s="82"/>
      <c r="FZ52" s="82"/>
      <c r="GA52" s="82"/>
      <c r="GB52" s="186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208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30" customHeight="1" x14ac:dyDescent="0.15">
      <c r="A53" s="221"/>
      <c r="B53" s="76">
        <f t="shared" si="20"/>
        <v>44</v>
      </c>
      <c r="C53" s="179"/>
      <c r="D53" s="93"/>
      <c r="E53" s="94"/>
      <c r="F53" s="235"/>
      <c r="G53" s="226"/>
      <c r="H53" s="183"/>
      <c r="I53" s="182"/>
      <c r="J53" s="77"/>
      <c r="K53" s="77"/>
      <c r="L53" s="77"/>
      <c r="M53" s="78"/>
      <c r="N53" s="91"/>
      <c r="O53" s="86">
        <v>0</v>
      </c>
      <c r="P53" s="78"/>
      <c r="Q53" s="91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41"/>
      <c r="BM53" s="82"/>
      <c r="BN53" s="82"/>
      <c r="BO53" s="83"/>
      <c r="BP53" s="82"/>
      <c r="BQ53" s="82"/>
      <c r="BR53" s="82"/>
      <c r="BS53" s="82"/>
      <c r="BT53" s="241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41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41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41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6"/>
      <c r="FH53" s="82"/>
      <c r="FI53" s="82"/>
      <c r="FJ53" s="82"/>
      <c r="FK53" s="82"/>
      <c r="FL53" s="82"/>
      <c r="FM53" s="82"/>
      <c r="FN53" s="186"/>
      <c r="FO53" s="199"/>
      <c r="FP53" s="198"/>
      <c r="FQ53" s="186"/>
      <c r="FR53" s="186"/>
      <c r="FS53" s="82"/>
      <c r="FT53" s="82"/>
      <c r="FU53" s="82"/>
      <c r="FV53" s="82"/>
      <c r="FW53" s="82"/>
      <c r="FX53" s="82"/>
      <c r="FY53" s="82"/>
      <c r="FZ53" s="82"/>
      <c r="GA53" s="82"/>
      <c r="GB53" s="186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208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22.5" customHeight="1" x14ac:dyDescent="0.15">
      <c r="A54" s="58">
        <v>1</v>
      </c>
      <c r="B54" s="76">
        <f t="shared" si="20"/>
        <v>45</v>
      </c>
      <c r="C54" s="179"/>
      <c r="D54" s="169"/>
      <c r="E54" s="170"/>
      <c r="F54" s="180"/>
      <c r="G54" s="96"/>
      <c r="H54" s="181"/>
      <c r="I54" s="182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41"/>
      <c r="BM54" s="82"/>
      <c r="BN54" s="82"/>
      <c r="BO54" s="83"/>
      <c r="BP54" s="82"/>
      <c r="BQ54" s="82"/>
      <c r="BR54" s="82"/>
      <c r="BS54" s="82"/>
      <c r="BT54" s="241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41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41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41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6"/>
      <c r="FH54" s="82"/>
      <c r="FI54" s="82"/>
      <c r="FJ54" s="82"/>
      <c r="FK54" s="82"/>
      <c r="FL54" s="82"/>
      <c r="FM54" s="82"/>
      <c r="FN54" s="186"/>
      <c r="FO54" s="199"/>
      <c r="FP54" s="198"/>
      <c r="FQ54" s="186"/>
      <c r="FR54" s="186"/>
      <c r="FS54" s="82"/>
      <c r="FT54" s="82"/>
      <c r="FU54" s="82"/>
      <c r="FV54" s="82"/>
      <c r="FW54" s="82"/>
      <c r="FX54" s="82"/>
      <c r="FY54" s="82"/>
      <c r="FZ54" s="82"/>
      <c r="GA54" s="82"/>
      <c r="GB54" s="186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208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4"/>
      <c r="D55" s="97"/>
      <c r="E55" s="97"/>
      <c r="F55" s="97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8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41"/>
      <c r="BM55" s="82"/>
      <c r="BN55" s="82"/>
      <c r="BO55" s="83"/>
      <c r="BP55" s="82"/>
      <c r="BQ55" s="82"/>
      <c r="BR55" s="82"/>
      <c r="BS55" s="82"/>
      <c r="BT55" s="241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41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41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41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6"/>
      <c r="FH55" s="82"/>
      <c r="FI55" s="82"/>
      <c r="FJ55" s="82"/>
      <c r="FK55" s="82"/>
      <c r="FL55" s="82"/>
      <c r="FM55" s="82"/>
      <c r="FN55" s="186"/>
      <c r="FO55" s="199"/>
      <c r="FP55" s="198"/>
      <c r="FQ55" s="186"/>
      <c r="FR55" s="186"/>
      <c r="FS55" s="82"/>
      <c r="FT55" s="82"/>
      <c r="FU55" s="82"/>
      <c r="FV55" s="82"/>
      <c r="FW55" s="82"/>
      <c r="FX55" s="82"/>
      <c r="FY55" s="82"/>
      <c r="FZ55" s="82"/>
      <c r="GA55" s="82"/>
      <c r="GB55" s="186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208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4.25" x14ac:dyDescent="0.15">
      <c r="B56" s="76"/>
      <c r="C56" s="97"/>
      <c r="D56" s="95"/>
      <c r="E56" s="95"/>
      <c r="F56" s="95"/>
      <c r="G56" s="96"/>
      <c r="H56" s="164"/>
      <c r="I56" s="163"/>
      <c r="J56" s="77"/>
      <c r="K56" s="77"/>
      <c r="L56" s="77"/>
      <c r="M56" s="78"/>
      <c r="N56" s="91"/>
      <c r="O56" s="86"/>
      <c r="P56" s="78"/>
      <c r="Q56" s="79"/>
      <c r="R56" s="80"/>
      <c r="S56" s="81"/>
      <c r="T56" s="82"/>
      <c r="U56" s="82"/>
      <c r="V56" s="82"/>
      <c r="W56" s="82"/>
      <c r="X56" s="82"/>
      <c r="Y56" s="83"/>
      <c r="Z56" s="83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3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3"/>
      <c r="AX56" s="84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241"/>
      <c r="BM56" s="82"/>
      <c r="BN56" s="82"/>
      <c r="BO56" s="83"/>
      <c r="BP56" s="82"/>
      <c r="BQ56" s="82"/>
      <c r="BR56" s="82"/>
      <c r="BS56" s="82"/>
      <c r="BT56" s="241"/>
      <c r="BU56" s="82"/>
      <c r="BV56" s="82"/>
      <c r="BW56" s="82"/>
      <c r="BX56" s="82"/>
      <c r="BY56" s="82"/>
      <c r="BZ56" s="82"/>
      <c r="CA56" s="83"/>
      <c r="CB56" s="84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241"/>
      <c r="CO56" s="82"/>
      <c r="CP56" s="82"/>
      <c r="CQ56" s="82"/>
      <c r="CR56" s="82"/>
      <c r="CS56" s="82"/>
      <c r="CT56" s="83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3"/>
      <c r="DG56" s="84"/>
      <c r="DH56" s="82"/>
      <c r="DI56" s="241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3"/>
      <c r="DZ56" s="82"/>
      <c r="EA56" s="82"/>
      <c r="EB56" s="82"/>
      <c r="EC56" s="82"/>
      <c r="ED56" s="241"/>
      <c r="EE56" s="82"/>
      <c r="EF56" s="82"/>
      <c r="EG56" s="82"/>
      <c r="EH56" s="82"/>
      <c r="EI56" s="82"/>
      <c r="EJ56" s="83"/>
      <c r="EK56" s="84"/>
      <c r="EL56" s="82"/>
      <c r="EM56" s="82"/>
      <c r="EN56" s="82"/>
      <c r="EO56" s="82"/>
      <c r="EP56" s="82"/>
      <c r="EQ56" s="82"/>
      <c r="ER56" s="82"/>
      <c r="ES56" s="82"/>
      <c r="ET56" s="82"/>
      <c r="EU56" s="82"/>
      <c r="EV56" s="82"/>
      <c r="EW56" s="82"/>
      <c r="EX56" s="82"/>
      <c r="EY56" s="82"/>
      <c r="EZ56" s="82"/>
      <c r="FA56" s="82"/>
      <c r="FB56" s="82"/>
      <c r="FC56" s="83"/>
      <c r="FD56" s="82"/>
      <c r="FE56" s="82"/>
      <c r="FF56" s="82"/>
      <c r="FG56" s="186"/>
      <c r="FH56" s="82"/>
      <c r="FI56" s="82"/>
      <c r="FJ56" s="82"/>
      <c r="FK56" s="82"/>
      <c r="FL56" s="82"/>
      <c r="FM56" s="82"/>
      <c r="FN56" s="186"/>
      <c r="FO56" s="199"/>
      <c r="FP56" s="198"/>
      <c r="FQ56" s="186"/>
      <c r="FR56" s="186"/>
      <c r="FS56" s="82"/>
      <c r="FT56" s="82"/>
      <c r="FU56" s="82"/>
      <c r="FV56" s="82"/>
      <c r="FW56" s="82"/>
      <c r="FX56" s="82"/>
      <c r="FY56" s="82"/>
      <c r="FZ56" s="82"/>
      <c r="GA56" s="82"/>
      <c r="GB56" s="186"/>
      <c r="GC56" s="82"/>
      <c r="GD56" s="82"/>
      <c r="GE56" s="82"/>
      <c r="GF56" s="82"/>
      <c r="GG56" s="83"/>
      <c r="GH56" s="82"/>
      <c r="GI56" s="82"/>
      <c r="GJ56" s="82"/>
      <c r="GK56" s="82"/>
      <c r="GL56" s="82"/>
      <c r="GM56" s="82"/>
      <c r="GN56" s="82"/>
      <c r="GO56" s="82"/>
      <c r="GP56" s="82"/>
      <c r="GQ56" s="82"/>
      <c r="GR56" s="82"/>
      <c r="GS56" s="82"/>
      <c r="GT56" s="83"/>
      <c r="GU56" s="208"/>
      <c r="GV56" s="82"/>
      <c r="GW56" s="82"/>
      <c r="GX56" s="82"/>
      <c r="GY56" s="82"/>
      <c r="GZ56" s="82"/>
      <c r="HA56" s="82"/>
      <c r="HB56" s="82"/>
      <c r="HC56" s="82"/>
      <c r="HD56" s="82"/>
      <c r="HE56" s="82"/>
      <c r="HF56" s="82"/>
      <c r="HG56" s="82"/>
      <c r="HH56" s="82"/>
      <c r="HI56" s="82"/>
      <c r="HJ56" s="83"/>
      <c r="HK56" s="82"/>
      <c r="HL56" s="82"/>
      <c r="HM56" s="82"/>
      <c r="HN56" s="82"/>
      <c r="HO56" s="82"/>
      <c r="HP56" s="82"/>
      <c r="HQ56" s="82"/>
      <c r="HR56" s="82"/>
      <c r="HS56" s="82"/>
      <c r="HT56" s="82"/>
      <c r="HU56" s="82"/>
      <c r="HV56" s="82"/>
    </row>
    <row r="57" spans="1:230" ht="15" thickBot="1" x14ac:dyDescent="0.2">
      <c r="B57" s="107"/>
      <c r="C57" s="148"/>
      <c r="D57" s="108"/>
      <c r="E57" s="109"/>
      <c r="F57" s="110"/>
      <c r="G57" s="167"/>
      <c r="H57" s="165"/>
      <c r="I57" s="166"/>
      <c r="J57" s="111"/>
      <c r="K57" s="111"/>
      <c r="L57" s="111"/>
      <c r="M57" s="112"/>
      <c r="N57" s="113"/>
      <c r="O57" s="114"/>
      <c r="P57" s="112"/>
      <c r="Q57" s="115"/>
      <c r="R57" s="116"/>
      <c r="S57" s="117"/>
      <c r="T57" s="118"/>
      <c r="U57" s="118"/>
      <c r="V57" s="118"/>
      <c r="W57" s="118"/>
      <c r="X57" s="118"/>
      <c r="Y57" s="119"/>
      <c r="Z57" s="119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9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9"/>
      <c r="AX57" s="120"/>
      <c r="AY57" s="118"/>
      <c r="AZ57" s="118"/>
      <c r="BA57" s="118"/>
      <c r="BB57" s="118"/>
      <c r="BC57" s="118"/>
      <c r="BD57" s="118"/>
      <c r="BE57" s="118"/>
      <c r="BF57" s="118"/>
      <c r="BG57" s="118"/>
      <c r="BH57" s="118"/>
      <c r="BI57" s="118"/>
      <c r="BJ57" s="118"/>
      <c r="BK57" s="118"/>
      <c r="BL57" s="243"/>
      <c r="BM57" s="238"/>
      <c r="BN57" s="118"/>
      <c r="BO57" s="119"/>
      <c r="BP57" s="118"/>
      <c r="BQ57" s="118"/>
      <c r="BR57" s="118"/>
      <c r="BS57" s="118"/>
      <c r="BT57" s="243"/>
      <c r="BU57" s="118"/>
      <c r="BV57" s="118"/>
      <c r="BW57" s="118"/>
      <c r="BX57" s="118"/>
      <c r="BY57" s="118"/>
      <c r="BZ57" s="118"/>
      <c r="CA57" s="119"/>
      <c r="CB57" s="120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243"/>
      <c r="CO57" s="118"/>
      <c r="CP57" s="118"/>
      <c r="CQ57" s="118"/>
      <c r="CR57" s="118"/>
      <c r="CS57" s="118"/>
      <c r="CT57" s="119"/>
      <c r="CU57" s="118"/>
      <c r="CV57" s="118"/>
      <c r="CW57" s="118"/>
      <c r="CX57" s="118"/>
      <c r="CY57" s="118"/>
      <c r="CZ57" s="118"/>
      <c r="DA57" s="118"/>
      <c r="DB57" s="118"/>
      <c r="DC57" s="118"/>
      <c r="DD57" s="118"/>
      <c r="DE57" s="118"/>
      <c r="DF57" s="119"/>
      <c r="DG57" s="120"/>
      <c r="DH57" s="118"/>
      <c r="DI57" s="243"/>
      <c r="DJ57" s="118"/>
      <c r="DK57" s="118"/>
      <c r="DL57" s="118"/>
      <c r="DM57" s="118"/>
      <c r="DN57" s="118"/>
      <c r="DO57" s="118"/>
      <c r="DP57" s="118"/>
      <c r="DQ57" s="118"/>
      <c r="DR57" s="118"/>
      <c r="DS57" s="118"/>
      <c r="DT57" s="118"/>
      <c r="DU57" s="118"/>
      <c r="DV57" s="118"/>
      <c r="DW57" s="118"/>
      <c r="DX57" s="118"/>
      <c r="DY57" s="119"/>
      <c r="DZ57" s="118"/>
      <c r="EA57" s="118"/>
      <c r="EB57" s="118"/>
      <c r="EC57" s="118"/>
      <c r="ED57" s="243"/>
      <c r="EE57" s="118"/>
      <c r="EF57" s="118"/>
      <c r="EG57" s="118"/>
      <c r="EH57" s="118"/>
      <c r="EI57" s="118"/>
      <c r="EJ57" s="119"/>
      <c r="EK57" s="120"/>
      <c r="EL57" s="118"/>
      <c r="EM57" s="118"/>
      <c r="EN57" s="118"/>
      <c r="EO57" s="118"/>
      <c r="EP57" s="118"/>
      <c r="EQ57" s="118"/>
      <c r="ER57" s="118"/>
      <c r="ES57" s="118"/>
      <c r="ET57" s="118"/>
      <c r="EU57" s="118"/>
      <c r="EV57" s="118"/>
      <c r="EW57" s="118"/>
      <c r="EX57" s="118"/>
      <c r="EY57" s="118"/>
      <c r="EZ57" s="118"/>
      <c r="FA57" s="118"/>
      <c r="FB57" s="118"/>
      <c r="FC57" s="119"/>
      <c r="FD57" s="118"/>
      <c r="FE57" s="118"/>
      <c r="FF57" s="118"/>
      <c r="FG57" s="187"/>
      <c r="FH57" s="118"/>
      <c r="FI57" s="118"/>
      <c r="FJ57" s="118"/>
      <c r="FK57" s="118"/>
      <c r="FL57" s="118"/>
      <c r="FM57" s="118"/>
      <c r="FN57" s="187"/>
      <c r="FO57" s="200"/>
      <c r="FP57" s="201"/>
      <c r="FQ57" s="187"/>
      <c r="FR57" s="187"/>
      <c r="FS57" s="118"/>
      <c r="FT57" s="118"/>
      <c r="FU57" s="118"/>
      <c r="FV57" s="118"/>
      <c r="FW57" s="118"/>
      <c r="FX57" s="118"/>
      <c r="FY57" s="118"/>
      <c r="FZ57" s="118"/>
      <c r="GA57" s="118"/>
      <c r="GB57" s="187"/>
      <c r="GC57" s="118"/>
      <c r="GD57" s="118"/>
      <c r="GE57" s="118"/>
      <c r="GF57" s="118"/>
      <c r="GG57" s="119"/>
      <c r="GH57" s="118"/>
      <c r="GI57" s="118"/>
      <c r="GJ57" s="118"/>
      <c r="GK57" s="118"/>
      <c r="GL57" s="118"/>
      <c r="GM57" s="118"/>
      <c r="GN57" s="118"/>
      <c r="GO57" s="118"/>
      <c r="GP57" s="118"/>
      <c r="GQ57" s="118"/>
      <c r="GR57" s="118"/>
      <c r="GS57" s="118"/>
      <c r="GT57" s="119"/>
      <c r="GU57" s="209"/>
      <c r="GV57" s="118"/>
      <c r="GW57" s="118"/>
      <c r="GX57" s="118"/>
      <c r="GY57" s="118"/>
      <c r="GZ57" s="118"/>
      <c r="HA57" s="118"/>
      <c r="HB57" s="118"/>
      <c r="HC57" s="118"/>
      <c r="HD57" s="118"/>
      <c r="HE57" s="118"/>
      <c r="HF57" s="118"/>
      <c r="HG57" s="118"/>
      <c r="HH57" s="118"/>
      <c r="HI57" s="118"/>
      <c r="HJ57" s="119"/>
      <c r="HK57" s="118"/>
      <c r="HL57" s="118"/>
      <c r="HM57" s="118"/>
      <c r="HN57" s="118"/>
      <c r="HO57" s="118"/>
      <c r="HP57" s="118"/>
      <c r="HQ57" s="118"/>
      <c r="HR57" s="118"/>
      <c r="HS57" s="118"/>
      <c r="HT57" s="118"/>
      <c r="HU57" s="118"/>
      <c r="HV57" s="118"/>
    </row>
  </sheetData>
  <mergeCells count="17">
    <mergeCell ref="S1:W1"/>
    <mergeCell ref="X1:AE1"/>
    <mergeCell ref="AF1:AG1"/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7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7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7">
    <cfRule type="expression" dxfId="2" priority="705" stopIfTrue="1">
      <formula>#REF! = 1</formula>
    </cfRule>
  </conditionalFormatting>
  <conditionalFormatting sqref="M9:Q57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6" firstPageNumber="2" fitToWidth="0" orientation="landscape" useFirstPageNumber="1" r:id="rId1"/>
  <headerFooter alignWithMargins="0">
    <oddFooter>&amp;CP4 - 2 - &amp;P</oddFooter>
  </headerFooter>
  <colBreaks count="1" manualBreakCount="1">
    <brk id="110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2025-07-23T07:21:39Z</cp:lastPrinted>
  <dcterms:created xsi:type="dcterms:W3CDTF">1997-03-28T07:15:09Z</dcterms:created>
  <dcterms:modified xsi:type="dcterms:W3CDTF">2025-07-23T07:23:07Z</dcterms:modified>
</cp:coreProperties>
</file>