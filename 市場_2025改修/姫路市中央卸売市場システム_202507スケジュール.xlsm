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Git001\市場_2025改修\"/>
    </mc:Choice>
  </mc:AlternateContent>
  <xr:revisionPtr revIDLastSave="0" documentId="13_ncr:1_{749ACCC2-1AC1-4509-A557-1FBC7BFE4B5B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WBS!$A$9:$IH$55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WBS!$B$1:$DF$57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8" l="1"/>
  <c r="B20" i="28"/>
  <c r="B17" i="28"/>
  <c r="B14" i="28"/>
  <c r="B15" i="28"/>
  <c r="B16" i="28"/>
  <c r="B49" i="28"/>
  <c r="B39" i="28"/>
  <c r="B33" i="28"/>
  <c r="B13" i="28"/>
  <c r="B18" i="28"/>
  <c r="B19" i="28"/>
  <c r="B21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3" i="28"/>
  <c r="B44" i="28"/>
  <c r="B45" i="28"/>
  <c r="B46" i="28"/>
  <c r="B47" i="28"/>
  <c r="B48" i="28"/>
  <c r="B50" i="28"/>
  <c r="B51" i="28"/>
  <c r="B52" i="28"/>
  <c r="B53" i="28"/>
  <c r="B54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L6" i="28"/>
  <c r="DL5" i="28"/>
  <c r="DM4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W6" i="28"/>
  <c r="DX4" i="28"/>
  <c r="DW5" i="28"/>
  <c r="DW4" i="28"/>
  <c r="DX6" i="28" l="1"/>
  <c r="DY2" i="28"/>
  <c r="DY4" i="28" s="1"/>
  <c r="DX5" i="28"/>
  <c r="DY5" i="28" l="1"/>
  <c r="DZ2" i="28"/>
  <c r="DZ4" i="28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L6" i="28"/>
  <c r="FM4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<sst xmlns="http://schemas.openxmlformats.org/spreadsheetml/2006/main" count="127" uniqueCount="50">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</sst>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68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100" xfId="0" applyFont="1" applyBorder="1" applyAlignment="1">
      <alignment horizontal="center" vertical="center" wrapText="1"/>
    </xf>
    <xf numFmtId="56" fontId="5" fillId="0" borderId="100" xfId="0" applyNumberFormat="1" applyFont="1" applyBorder="1" applyAlignment="1">
      <alignment horizontal="center" vertical="center" wrapText="1"/>
    </xf>
    <xf numFmtId="176" fontId="5" fillId="0" borderId="100" xfId="0" applyNumberFormat="1" applyFont="1" applyBorder="1" applyAlignment="1">
      <alignment horizontal="center" vertical="center" wrapText="1" shrinkToFit="1"/>
    </xf>
    <xf numFmtId="176" fontId="5" fillId="0" borderId="99" xfId="0" applyNumberFormat="1" applyFont="1" applyBorder="1" applyAlignment="1">
      <alignment horizontal="center" vertical="center" wrapText="1" shrinkToFit="1"/>
    </xf>
    <xf numFmtId="9" fontId="5" fillId="28" borderId="100" xfId="0" applyNumberFormat="1" applyFont="1" applyFill="1" applyBorder="1" applyAlignment="1">
      <alignment horizontal="center" vertical="center" wrapText="1" shrinkToFit="1"/>
    </xf>
    <xf numFmtId="0" fontId="29" fillId="0" borderId="83" xfId="0" applyFont="1" applyBorder="1" applyAlignment="1">
      <alignment vertical="center"/>
    </xf>
    <xf numFmtId="0" fontId="5" fillId="26" borderId="39" xfId="0" applyFont="1" applyFill="1" applyBorder="1" applyAlignment="1">
      <alignment vertical="top" wrapTex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208</xdr:col>
      <xdr:colOff>0</xdr:colOff>
      <xdr:row>51</xdr:row>
      <xdr:rowOff>119063</xdr:rowOff>
    </xdr:from>
    <xdr:to>
      <xdr:col>211</xdr:col>
      <xdr:colOff>0</xdr:colOff>
      <xdr:row>51</xdr:row>
      <xdr:rowOff>261938</xdr:rowOff>
    </xdr:to>
    <xdr:sp macro="" textlink="">
      <xdr:nvSpPr>
        <xdr:cNvPr id="170890" name="自動予定52">
          <a:extLst>
            <a:ext uri="{FF2B5EF4-FFF2-40B4-BE49-F238E27FC236}">
              <a16:creationId xmlns:a16="http://schemas.microsoft.com/office/drawing/2014/main" id="{C8E9C8B4-0308-CEE9-09A9-2DAAEF169729}"/>
            </a:ext>
          </a:extLst>
        </xdr:cNvPr>
        <xdr:cNvSpPr/>
      </xdr:nvSpPr>
      <xdr:spPr bwMode="auto">
        <a:xfrm>
          <a:off x="42395775" y="17768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157</xdr:col>
      <xdr:colOff>0</xdr:colOff>
      <xdr:row>50</xdr:row>
      <xdr:rowOff>119063</xdr:rowOff>
    </xdr:from>
    <xdr:to>
      <xdr:col>197</xdr:col>
      <xdr:colOff>0</xdr:colOff>
      <xdr:row>50</xdr:row>
      <xdr:rowOff>261938</xdr:rowOff>
    </xdr:to>
    <xdr:sp macro="" textlink="">
      <xdr:nvSpPr>
        <xdr:cNvPr id="170888" name="自動予定51">
          <a:extLst>
            <a:ext uri="{FF2B5EF4-FFF2-40B4-BE49-F238E27FC236}">
              <a16:creationId xmlns:a16="http://schemas.microsoft.com/office/drawing/2014/main" id="{9955F6CE-79B9-1A7C-F733-07863572F034}"/>
            </a:ext>
          </a:extLst>
        </xdr:cNvPr>
        <xdr:cNvSpPr/>
      </xdr:nvSpPr>
      <xdr:spPr bwMode="auto">
        <a:xfrm>
          <a:off x="33994725" y="17387888"/>
          <a:ext cx="6543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49</xdr:row>
      <xdr:rowOff>119063</xdr:rowOff>
    </xdr:from>
    <xdr:to>
      <xdr:col>172</xdr:col>
      <xdr:colOff>0</xdr:colOff>
      <xdr:row>49</xdr:row>
      <xdr:rowOff>261938</xdr:rowOff>
    </xdr:to>
    <xdr:sp macro="" textlink="">
      <xdr:nvSpPr>
        <xdr:cNvPr id="170883" name="自動予定50">
          <a:extLst>
            <a:ext uri="{FF2B5EF4-FFF2-40B4-BE49-F238E27FC236}">
              <a16:creationId xmlns:a16="http://schemas.microsoft.com/office/drawing/2014/main" id="{996C6A32-65D5-D2C4-47A7-095EB023008C}"/>
            </a:ext>
          </a:extLst>
        </xdr:cNvPr>
        <xdr:cNvSpPr/>
      </xdr:nvSpPr>
      <xdr:spPr bwMode="auto">
        <a:xfrm>
          <a:off x="31337250" y="17006888"/>
          <a:ext cx="51530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171</xdr:col>
      <xdr:colOff>0</xdr:colOff>
      <xdr:row>48</xdr:row>
      <xdr:rowOff>119063</xdr:rowOff>
    </xdr:from>
    <xdr:to>
      <xdr:col>191</xdr:col>
      <xdr:colOff>0</xdr:colOff>
      <xdr:row>48</xdr:row>
      <xdr:rowOff>261938</xdr:rowOff>
    </xdr:to>
    <xdr:sp macro="" textlink="">
      <xdr:nvSpPr>
        <xdr:cNvPr id="170881" name="自動予定49">
          <a:extLst>
            <a:ext uri="{FF2B5EF4-FFF2-40B4-BE49-F238E27FC236}">
              <a16:creationId xmlns:a16="http://schemas.microsoft.com/office/drawing/2014/main" id="{3BB6969A-F3B1-3749-157D-E33EC7B46239}"/>
            </a:ext>
          </a:extLst>
        </xdr:cNvPr>
        <xdr:cNvSpPr/>
      </xdr:nvSpPr>
      <xdr:spPr bwMode="auto">
        <a:xfrm>
          <a:off x="362616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45</xdr:row>
      <xdr:rowOff>119063</xdr:rowOff>
    </xdr:from>
    <xdr:to>
      <xdr:col>155</xdr:col>
      <xdr:colOff>0</xdr:colOff>
      <xdr:row>45</xdr:row>
      <xdr:rowOff>261938</xdr:rowOff>
    </xdr:to>
    <xdr:sp macro="" textlink="">
      <xdr:nvSpPr>
        <xdr:cNvPr id="115775" name="自動予定46">
          <a:extLst>
            <a:ext uri="{FF2B5EF4-FFF2-40B4-BE49-F238E27FC236}">
              <a16:creationId xmlns:a16="http://schemas.microsoft.com/office/drawing/2014/main" id="{26F7A537-AF09-E09D-D2B5-85D6BDA26C5A}"/>
            </a:ext>
          </a:extLst>
        </xdr:cNvPr>
        <xdr:cNvSpPr/>
      </xdr:nvSpPr>
      <xdr:spPr bwMode="auto">
        <a:xfrm>
          <a:off x="31337250" y="15482888"/>
          <a:ext cx="2333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115</xdr:col>
      <xdr:colOff>0</xdr:colOff>
      <xdr:row>43</xdr:row>
      <xdr:rowOff>119063</xdr:rowOff>
    </xdr:from>
    <xdr:to>
      <xdr:col>142</xdr:col>
      <xdr:colOff>0</xdr:colOff>
      <xdr:row>43</xdr:row>
      <xdr:rowOff>261938</xdr:rowOff>
    </xdr:to>
    <xdr:sp macro="" textlink="">
      <xdr:nvSpPr>
        <xdr:cNvPr id="115773" name="自動予定44">
          <a:extLst>
            <a:ext uri="{FF2B5EF4-FFF2-40B4-BE49-F238E27FC236}">
              <a16:creationId xmlns:a16="http://schemas.microsoft.com/office/drawing/2014/main" id="{FEA3EBB1-4BC8-7AC2-6DD9-289366411187}"/>
            </a:ext>
          </a:extLst>
        </xdr:cNvPr>
        <xdr:cNvSpPr/>
      </xdr:nvSpPr>
      <xdr:spPr bwMode="auto">
        <a:xfrm>
          <a:off x="27127200" y="14720888"/>
          <a:ext cx="44386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103</xdr:col>
      <xdr:colOff>0</xdr:colOff>
      <xdr:row>40</xdr:row>
      <xdr:rowOff>119063</xdr:rowOff>
    </xdr:from>
    <xdr:to>
      <xdr:col>110</xdr:col>
      <xdr:colOff>0</xdr:colOff>
      <xdr:row>40</xdr:row>
      <xdr:rowOff>261938</xdr:rowOff>
    </xdr:to>
    <xdr:sp macro="" textlink="">
      <xdr:nvSpPr>
        <xdr:cNvPr id="115771" name="自動予定41">
          <a:extLst>
            <a:ext uri="{FF2B5EF4-FFF2-40B4-BE49-F238E27FC236}">
              <a16:creationId xmlns:a16="http://schemas.microsoft.com/office/drawing/2014/main" id="{B336EE62-E725-5190-721A-98ADC7D2722C}"/>
            </a:ext>
          </a:extLst>
        </xdr:cNvPr>
        <xdr:cNvSpPr/>
      </xdr:nvSpPr>
      <xdr:spPr bwMode="auto">
        <a:xfrm>
          <a:off x="25184100" y="13577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95</xdr:col>
      <xdr:colOff>0</xdr:colOff>
      <xdr:row>39</xdr:row>
      <xdr:rowOff>119063</xdr:rowOff>
    </xdr:from>
    <xdr:to>
      <xdr:col>99</xdr:col>
      <xdr:colOff>0</xdr:colOff>
      <xdr:row>39</xdr:row>
      <xdr:rowOff>261938</xdr:rowOff>
    </xdr:to>
    <xdr:sp macro="" textlink="">
      <xdr:nvSpPr>
        <xdr:cNvPr id="115769" name="自動予定40">
          <a:extLst>
            <a:ext uri="{FF2B5EF4-FFF2-40B4-BE49-F238E27FC236}">
              <a16:creationId xmlns:a16="http://schemas.microsoft.com/office/drawing/2014/main" id="{B6B783D0-5F39-EC0C-0F04-52C2A1E3D89B}"/>
            </a:ext>
          </a:extLst>
        </xdr:cNvPr>
        <xdr:cNvSpPr/>
      </xdr:nvSpPr>
      <xdr:spPr bwMode="auto">
        <a:xfrm>
          <a:off x="23888700" y="13196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89</xdr:col>
      <xdr:colOff>0</xdr:colOff>
      <xdr:row>38</xdr:row>
      <xdr:rowOff>119063</xdr:rowOff>
    </xdr:from>
    <xdr:to>
      <xdr:col>92</xdr:col>
      <xdr:colOff>0</xdr:colOff>
      <xdr:row>38</xdr:row>
      <xdr:rowOff>261938</xdr:rowOff>
    </xdr:to>
    <xdr:sp macro="" textlink="">
      <xdr:nvSpPr>
        <xdr:cNvPr id="115767" name="自動予定39">
          <a:extLst>
            <a:ext uri="{FF2B5EF4-FFF2-40B4-BE49-F238E27FC236}">
              <a16:creationId xmlns:a16="http://schemas.microsoft.com/office/drawing/2014/main" id="{12CD9E85-3C19-EEF1-66FF-2B206DF57BF9}"/>
            </a:ext>
          </a:extLst>
        </xdr:cNvPr>
        <xdr:cNvSpPr/>
      </xdr:nvSpPr>
      <xdr:spPr bwMode="auto">
        <a:xfrm>
          <a:off x="22917150" y="1281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82</xdr:col>
      <xdr:colOff>0</xdr:colOff>
      <xdr:row>37</xdr:row>
      <xdr:rowOff>119063</xdr:rowOff>
    </xdr:from>
    <xdr:to>
      <xdr:col>89</xdr:col>
      <xdr:colOff>0</xdr:colOff>
      <xdr:row>37</xdr:row>
      <xdr:rowOff>261938</xdr:rowOff>
    </xdr:to>
    <xdr:sp macro="" textlink="">
      <xdr:nvSpPr>
        <xdr:cNvPr id="115765" name="自動予定38">
          <a:extLst>
            <a:ext uri="{FF2B5EF4-FFF2-40B4-BE49-F238E27FC236}">
              <a16:creationId xmlns:a16="http://schemas.microsoft.com/office/drawing/2014/main" id="{29B5EE7C-D86F-0658-1D76-2ABCFD44045B}"/>
            </a:ext>
          </a:extLst>
        </xdr:cNvPr>
        <xdr:cNvSpPr/>
      </xdr:nvSpPr>
      <xdr:spPr bwMode="auto">
        <a:xfrm>
          <a:off x="21783675" y="12434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36</xdr:row>
      <xdr:rowOff>119063</xdr:rowOff>
    </xdr:from>
    <xdr:to>
      <xdr:col>82</xdr:col>
      <xdr:colOff>0</xdr:colOff>
      <xdr:row>36</xdr:row>
      <xdr:rowOff>261938</xdr:rowOff>
    </xdr:to>
    <xdr:sp macro="" textlink="">
      <xdr:nvSpPr>
        <xdr:cNvPr id="115763" name="自動予定37">
          <a:extLst>
            <a:ext uri="{FF2B5EF4-FFF2-40B4-BE49-F238E27FC236}">
              <a16:creationId xmlns:a16="http://schemas.microsoft.com/office/drawing/2014/main" id="{79EEA795-32C5-39A4-3478-F1C27FCC1A35}"/>
            </a:ext>
          </a:extLst>
        </xdr:cNvPr>
        <xdr:cNvSpPr/>
      </xdr:nvSpPr>
      <xdr:spPr bwMode="auto">
        <a:xfrm>
          <a:off x="20326350" y="12053888"/>
          <a:ext cx="14573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0</xdr:colOff>
      <xdr:row>35</xdr:row>
      <xdr:rowOff>119063</xdr:rowOff>
    </xdr:from>
    <xdr:to>
      <xdr:col>71</xdr:col>
      <xdr:colOff>0</xdr:colOff>
      <xdr:row>35</xdr:row>
      <xdr:rowOff>261938</xdr:rowOff>
    </xdr:to>
    <xdr:sp macro="" textlink="">
      <xdr:nvSpPr>
        <xdr:cNvPr id="115761" name="自動予定36">
          <a:extLst>
            <a:ext uri="{FF2B5EF4-FFF2-40B4-BE49-F238E27FC236}">
              <a16:creationId xmlns:a16="http://schemas.microsoft.com/office/drawing/2014/main" id="{C6B20704-204B-D8A3-7B56-7B148D256ABA}"/>
            </a:ext>
          </a:extLst>
        </xdr:cNvPr>
        <xdr:cNvSpPr/>
      </xdr:nvSpPr>
      <xdr:spPr bwMode="auto">
        <a:xfrm>
          <a:off x="19850100" y="11672888"/>
          <a:ext cx="152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0</xdr:colOff>
      <xdr:row>34</xdr:row>
      <xdr:rowOff>119063</xdr:rowOff>
    </xdr:from>
    <xdr:to>
      <xdr:col>70</xdr:col>
      <xdr:colOff>0</xdr:colOff>
      <xdr:row>34</xdr:row>
      <xdr:rowOff>261938</xdr:rowOff>
    </xdr:to>
    <xdr:sp macro="" textlink="">
      <xdr:nvSpPr>
        <xdr:cNvPr id="115759" name="自動予定35">
          <a:extLst>
            <a:ext uri="{FF2B5EF4-FFF2-40B4-BE49-F238E27FC236}">
              <a16:creationId xmlns:a16="http://schemas.microsoft.com/office/drawing/2014/main" id="{80597A52-5ADB-0004-8B93-344993856953}"/>
            </a:ext>
          </a:extLst>
        </xdr:cNvPr>
        <xdr:cNvSpPr/>
      </xdr:nvSpPr>
      <xdr:spPr bwMode="auto">
        <a:xfrm>
          <a:off x="19688175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68</xdr:col>
      <xdr:colOff>0</xdr:colOff>
      <xdr:row>32</xdr:row>
      <xdr:rowOff>119063</xdr:rowOff>
    </xdr:from>
    <xdr:to>
      <xdr:col>69</xdr:col>
      <xdr:colOff>0</xdr:colOff>
      <xdr:row>32</xdr:row>
      <xdr:rowOff>261938</xdr:rowOff>
    </xdr:to>
    <xdr:sp macro="" textlink="">
      <xdr:nvSpPr>
        <xdr:cNvPr id="115757" name="自動予定33">
          <a:extLst>
            <a:ext uri="{FF2B5EF4-FFF2-40B4-BE49-F238E27FC236}">
              <a16:creationId xmlns:a16="http://schemas.microsoft.com/office/drawing/2014/main" id="{0CFAAB7C-A3AD-6C40-87A7-1922852FEC48}"/>
            </a:ext>
          </a:extLst>
        </xdr:cNvPr>
        <xdr:cNvSpPr/>
      </xdr:nvSpPr>
      <xdr:spPr bwMode="auto">
        <a:xfrm>
          <a:off x="19526250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30</xdr:row>
      <xdr:rowOff>119063</xdr:rowOff>
    </xdr:from>
    <xdr:to>
      <xdr:col>69</xdr:col>
      <xdr:colOff>0</xdr:colOff>
      <xdr:row>30</xdr:row>
      <xdr:rowOff>261938</xdr:rowOff>
    </xdr:to>
    <xdr:sp macro="" textlink="">
      <xdr:nvSpPr>
        <xdr:cNvPr id="115755" name="自動予定31">
          <a:extLst>
            <a:ext uri="{FF2B5EF4-FFF2-40B4-BE49-F238E27FC236}">
              <a16:creationId xmlns:a16="http://schemas.microsoft.com/office/drawing/2014/main" id="{87C1E0B2-973A-63C3-9799-1045266D6AA2}"/>
            </a:ext>
          </a:extLst>
        </xdr:cNvPr>
        <xdr:cNvSpPr/>
      </xdr:nvSpPr>
      <xdr:spPr bwMode="auto">
        <a:xfrm>
          <a:off x="19202400" y="9767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29</xdr:row>
      <xdr:rowOff>119063</xdr:rowOff>
    </xdr:from>
    <xdr:to>
      <xdr:col>69</xdr:col>
      <xdr:colOff>0</xdr:colOff>
      <xdr:row>29</xdr:row>
      <xdr:rowOff>261938</xdr:rowOff>
    </xdr:to>
    <xdr:sp macro="" textlink="">
      <xdr:nvSpPr>
        <xdr:cNvPr id="115753" name="自動予定30">
          <a:extLst>
            <a:ext uri="{FF2B5EF4-FFF2-40B4-BE49-F238E27FC236}">
              <a16:creationId xmlns:a16="http://schemas.microsoft.com/office/drawing/2014/main" id="{5CF767B0-FF5C-3C6D-DCC4-9DD4FB905829}"/>
            </a:ext>
          </a:extLst>
        </xdr:cNvPr>
        <xdr:cNvSpPr/>
      </xdr:nvSpPr>
      <xdr:spPr bwMode="auto">
        <a:xfrm>
          <a:off x="19202400" y="938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27</xdr:row>
      <xdr:rowOff>119063</xdr:rowOff>
    </xdr:from>
    <xdr:to>
      <xdr:col>69</xdr:col>
      <xdr:colOff>0</xdr:colOff>
      <xdr:row>27</xdr:row>
      <xdr:rowOff>261938</xdr:rowOff>
    </xdr:to>
    <xdr:sp macro="" textlink="">
      <xdr:nvSpPr>
        <xdr:cNvPr id="115751" name="自動予定28">
          <a:extLst>
            <a:ext uri="{FF2B5EF4-FFF2-40B4-BE49-F238E27FC236}">
              <a16:creationId xmlns:a16="http://schemas.microsoft.com/office/drawing/2014/main" id="{BB4FE8EF-E6F0-E6A3-CF7B-F5B2A5404EEB}"/>
            </a:ext>
          </a:extLst>
        </xdr:cNvPr>
        <xdr:cNvSpPr/>
      </xdr:nvSpPr>
      <xdr:spPr bwMode="auto">
        <a:xfrm>
          <a:off x="17259300" y="8624888"/>
          <a:ext cx="2428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26</xdr:row>
      <xdr:rowOff>119063</xdr:rowOff>
    </xdr:from>
    <xdr:to>
      <xdr:col>55</xdr:col>
      <xdr:colOff>0</xdr:colOff>
      <xdr:row>26</xdr:row>
      <xdr:rowOff>261938</xdr:rowOff>
    </xdr:to>
    <xdr:sp macro="" textlink="">
      <xdr:nvSpPr>
        <xdr:cNvPr id="115749" name="自動予定27">
          <a:extLst>
            <a:ext uri="{FF2B5EF4-FFF2-40B4-BE49-F238E27FC236}">
              <a16:creationId xmlns:a16="http://schemas.microsoft.com/office/drawing/2014/main" id="{C366C650-A5D1-1919-A557-008E6B710CFB}"/>
            </a:ext>
          </a:extLst>
        </xdr:cNvPr>
        <xdr:cNvSpPr/>
      </xdr:nvSpPr>
      <xdr:spPr bwMode="auto">
        <a:xfrm>
          <a:off x="16935450" y="8243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25</xdr:row>
      <xdr:rowOff>119063</xdr:rowOff>
    </xdr:from>
    <xdr:to>
      <xdr:col>55</xdr:col>
      <xdr:colOff>0</xdr:colOff>
      <xdr:row>25</xdr:row>
      <xdr:rowOff>261938</xdr:rowOff>
    </xdr:to>
    <xdr:sp macro="" textlink="">
      <xdr:nvSpPr>
        <xdr:cNvPr id="115747" name="自動予定26">
          <a:extLst>
            <a:ext uri="{FF2B5EF4-FFF2-40B4-BE49-F238E27FC236}">
              <a16:creationId xmlns:a16="http://schemas.microsoft.com/office/drawing/2014/main" id="{90261D7D-BC58-19BA-C47F-560B0E6B1860}"/>
            </a:ext>
          </a:extLst>
        </xdr:cNvPr>
        <xdr:cNvSpPr/>
      </xdr:nvSpPr>
      <xdr:spPr bwMode="auto">
        <a:xfrm>
          <a:off x="172593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24</xdr:row>
      <xdr:rowOff>119063</xdr:rowOff>
    </xdr:from>
    <xdr:to>
      <xdr:col>50</xdr:col>
      <xdr:colOff>0</xdr:colOff>
      <xdr:row>24</xdr:row>
      <xdr:rowOff>261938</xdr:rowOff>
    </xdr:to>
    <xdr:sp macro="" textlink="">
      <xdr:nvSpPr>
        <xdr:cNvPr id="115745" name="自動予定25">
          <a:extLst>
            <a:ext uri="{FF2B5EF4-FFF2-40B4-BE49-F238E27FC236}">
              <a16:creationId xmlns:a16="http://schemas.microsoft.com/office/drawing/2014/main" id="{FCD528C8-DED0-C541-E831-7D69BA3748CD}"/>
            </a:ext>
          </a:extLst>
        </xdr:cNvPr>
        <xdr:cNvSpPr/>
      </xdr:nvSpPr>
      <xdr:spPr bwMode="auto">
        <a:xfrm>
          <a:off x="15754350" y="7481888"/>
          <a:ext cx="857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23</xdr:row>
      <xdr:rowOff>119063</xdr:rowOff>
    </xdr:from>
    <xdr:to>
      <xdr:col>43</xdr:col>
      <xdr:colOff>0</xdr:colOff>
      <xdr:row>23</xdr:row>
      <xdr:rowOff>261938</xdr:rowOff>
    </xdr:to>
    <xdr:sp macro="" textlink="">
      <xdr:nvSpPr>
        <xdr:cNvPr id="115743" name="自動予定24">
          <a:extLst>
            <a:ext uri="{FF2B5EF4-FFF2-40B4-BE49-F238E27FC236}">
              <a16:creationId xmlns:a16="http://schemas.microsoft.com/office/drawing/2014/main" id="{A143261E-FFFB-9F18-1531-F995CB3D8EED}"/>
            </a:ext>
          </a:extLst>
        </xdr:cNvPr>
        <xdr:cNvSpPr/>
      </xdr:nvSpPr>
      <xdr:spPr bwMode="auto">
        <a:xfrm>
          <a:off x="14944725" y="7100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22</xdr:row>
      <xdr:rowOff>119063</xdr:rowOff>
    </xdr:from>
    <xdr:to>
      <xdr:col>40</xdr:col>
      <xdr:colOff>0</xdr:colOff>
      <xdr:row>22</xdr:row>
      <xdr:rowOff>261938</xdr:rowOff>
    </xdr:to>
    <xdr:sp macro="" textlink="">
      <xdr:nvSpPr>
        <xdr:cNvPr id="115741" name="自動予定23">
          <a:extLst>
            <a:ext uri="{FF2B5EF4-FFF2-40B4-BE49-F238E27FC236}">
              <a16:creationId xmlns:a16="http://schemas.microsoft.com/office/drawing/2014/main" id="{CC1238A0-A57C-A02F-0192-6226EFCC0384}"/>
            </a:ext>
          </a:extLst>
        </xdr:cNvPr>
        <xdr:cNvSpPr/>
      </xdr:nvSpPr>
      <xdr:spPr bwMode="auto">
        <a:xfrm>
          <a:off x="14620875" y="671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20</xdr:row>
      <xdr:rowOff>119063</xdr:rowOff>
    </xdr:from>
    <xdr:to>
      <xdr:col>48</xdr:col>
      <xdr:colOff>0</xdr:colOff>
      <xdr:row>20</xdr:row>
      <xdr:rowOff>261938</xdr:rowOff>
    </xdr:to>
    <xdr:sp macro="" textlink="">
      <xdr:nvSpPr>
        <xdr:cNvPr id="115739" name="自動予定21">
          <a:extLst>
            <a:ext uri="{FF2B5EF4-FFF2-40B4-BE49-F238E27FC236}">
              <a16:creationId xmlns:a16="http://schemas.microsoft.com/office/drawing/2014/main" id="{61D1E8B1-44F9-523D-5AEA-7FADF61984FC}"/>
            </a:ext>
          </a:extLst>
        </xdr:cNvPr>
        <xdr:cNvSpPr/>
      </xdr:nvSpPr>
      <xdr:spPr bwMode="auto">
        <a:xfrm>
          <a:off x="16078200" y="595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18</xdr:row>
      <xdr:rowOff>119063</xdr:rowOff>
    </xdr:from>
    <xdr:to>
      <xdr:col>46</xdr:col>
      <xdr:colOff>0</xdr:colOff>
      <xdr:row>18</xdr:row>
      <xdr:rowOff>261938</xdr:rowOff>
    </xdr:to>
    <xdr:sp macro="" textlink="">
      <xdr:nvSpPr>
        <xdr:cNvPr id="115737" name="自動予定19">
          <a:extLst>
            <a:ext uri="{FF2B5EF4-FFF2-40B4-BE49-F238E27FC236}">
              <a16:creationId xmlns:a16="http://schemas.microsoft.com/office/drawing/2014/main" id="{627622A0-7288-3C39-62E9-CA6D9AE171C3}"/>
            </a:ext>
          </a:extLst>
        </xdr:cNvPr>
        <xdr:cNvSpPr/>
      </xdr:nvSpPr>
      <xdr:spPr bwMode="auto">
        <a:xfrm>
          <a:off x="15754350" y="519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17</xdr:row>
      <xdr:rowOff>119063</xdr:rowOff>
    </xdr:from>
    <xdr:to>
      <xdr:col>43</xdr:col>
      <xdr:colOff>0</xdr:colOff>
      <xdr:row>17</xdr:row>
      <xdr:rowOff>261938</xdr:rowOff>
    </xdr:to>
    <xdr:sp macro="" textlink="">
      <xdr:nvSpPr>
        <xdr:cNvPr id="115735" name="自動予定18">
          <a:extLst>
            <a:ext uri="{FF2B5EF4-FFF2-40B4-BE49-F238E27FC236}">
              <a16:creationId xmlns:a16="http://schemas.microsoft.com/office/drawing/2014/main" id="{593FB9D7-F12F-A03A-0E78-21D096F7D7C4}"/>
            </a:ext>
          </a:extLst>
        </xdr:cNvPr>
        <xdr:cNvSpPr/>
      </xdr:nvSpPr>
      <xdr:spPr bwMode="auto">
        <a:xfrm>
          <a:off x="15268575" y="4814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16</xdr:row>
      <xdr:rowOff>119063</xdr:rowOff>
    </xdr:from>
    <xdr:to>
      <xdr:col>41</xdr:col>
      <xdr:colOff>0</xdr:colOff>
      <xdr:row>16</xdr:row>
      <xdr:rowOff>261938</xdr:rowOff>
    </xdr:to>
    <xdr:sp macro="" textlink="">
      <xdr:nvSpPr>
        <xdr:cNvPr id="115733" name="自動予定17">
          <a:extLst>
            <a:ext uri="{FF2B5EF4-FFF2-40B4-BE49-F238E27FC236}">
              <a16:creationId xmlns:a16="http://schemas.microsoft.com/office/drawing/2014/main" id="{A4E6A1DA-1C94-945D-DB37-BAFAFD506060}"/>
            </a:ext>
          </a:extLst>
        </xdr:cNvPr>
        <xdr:cNvSpPr/>
      </xdr:nvSpPr>
      <xdr:spPr bwMode="auto">
        <a:xfrm>
          <a:off x="14944725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15</xdr:row>
      <xdr:rowOff>119063</xdr:rowOff>
    </xdr:from>
    <xdr:to>
      <xdr:col>39</xdr:col>
      <xdr:colOff>0</xdr:colOff>
      <xdr:row>15</xdr:row>
      <xdr:rowOff>261938</xdr:rowOff>
    </xdr:to>
    <xdr:sp macro="" textlink="">
      <xdr:nvSpPr>
        <xdr:cNvPr id="115731" name="自動予定16">
          <a:extLst>
            <a:ext uri="{FF2B5EF4-FFF2-40B4-BE49-F238E27FC236}">
              <a16:creationId xmlns:a16="http://schemas.microsoft.com/office/drawing/2014/main" id="{A47B5432-C54A-CA29-C109-9A5C1F2B2F90}"/>
            </a:ext>
          </a:extLst>
        </xdr:cNvPr>
        <xdr:cNvSpPr/>
      </xdr:nvSpPr>
      <xdr:spPr bwMode="auto">
        <a:xfrm>
          <a:off x="14620875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14</xdr:row>
      <xdr:rowOff>119063</xdr:rowOff>
    </xdr:from>
    <xdr:to>
      <xdr:col>36</xdr:col>
      <xdr:colOff>0</xdr:colOff>
      <xdr:row>14</xdr:row>
      <xdr:rowOff>261938</xdr:rowOff>
    </xdr:to>
    <xdr:sp macro="" textlink="">
      <xdr:nvSpPr>
        <xdr:cNvPr id="115729" name="自動予定15">
          <a:extLst>
            <a:ext uri="{FF2B5EF4-FFF2-40B4-BE49-F238E27FC236}">
              <a16:creationId xmlns:a16="http://schemas.microsoft.com/office/drawing/2014/main" id="{9788DED1-4116-F1B9-4618-90FE44ED4016}"/>
            </a:ext>
          </a:extLst>
        </xdr:cNvPr>
        <xdr:cNvSpPr/>
      </xdr:nvSpPr>
      <xdr:spPr bwMode="auto">
        <a:xfrm>
          <a:off x="141351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13</xdr:row>
      <xdr:rowOff>119063</xdr:rowOff>
    </xdr:from>
    <xdr:to>
      <xdr:col>34</xdr:col>
      <xdr:colOff>0</xdr:colOff>
      <xdr:row>13</xdr:row>
      <xdr:rowOff>261938</xdr:rowOff>
    </xdr:to>
    <xdr:sp macro="" textlink="">
      <xdr:nvSpPr>
        <xdr:cNvPr id="115727" name="自動予定14">
          <a:extLst>
            <a:ext uri="{FF2B5EF4-FFF2-40B4-BE49-F238E27FC236}">
              <a16:creationId xmlns:a16="http://schemas.microsoft.com/office/drawing/2014/main" id="{53E04A10-54D7-D165-B1B4-93D929E58AA4}"/>
            </a:ext>
          </a:extLst>
        </xdr:cNvPr>
        <xdr:cNvSpPr/>
      </xdr:nvSpPr>
      <xdr:spPr bwMode="auto">
        <a:xfrm>
          <a:off x="13811250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12</xdr:row>
      <xdr:rowOff>119063</xdr:rowOff>
    </xdr:from>
    <xdr:to>
      <xdr:col>33</xdr:col>
      <xdr:colOff>0</xdr:colOff>
      <xdr:row>12</xdr:row>
      <xdr:rowOff>261938</xdr:rowOff>
    </xdr:to>
    <xdr:sp macro="" textlink="">
      <xdr:nvSpPr>
        <xdr:cNvPr id="115725" name="自動予定13">
          <a:extLst>
            <a:ext uri="{FF2B5EF4-FFF2-40B4-BE49-F238E27FC236}">
              <a16:creationId xmlns:a16="http://schemas.microsoft.com/office/drawing/2014/main" id="{2634A954-D492-A56D-95CA-930EFCBA1EFF}"/>
            </a:ext>
          </a:extLst>
        </xdr:cNvPr>
        <xdr:cNvSpPr/>
      </xdr:nvSpPr>
      <xdr:spPr bwMode="auto">
        <a:xfrm>
          <a:off x="136493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11</xdr:row>
      <xdr:rowOff>119063</xdr:rowOff>
    </xdr:from>
    <xdr:to>
      <xdr:col>32</xdr:col>
      <xdr:colOff>0</xdr:colOff>
      <xdr:row>11</xdr:row>
      <xdr:rowOff>261938</xdr:rowOff>
    </xdr:to>
    <xdr:sp macro="" textlink="">
      <xdr:nvSpPr>
        <xdr:cNvPr id="115723" name="自動予定12">
          <a:extLst>
            <a:ext uri="{FF2B5EF4-FFF2-40B4-BE49-F238E27FC236}">
              <a16:creationId xmlns:a16="http://schemas.microsoft.com/office/drawing/2014/main" id="{C0D5559E-5513-B9DC-D063-4A6FA082A779}"/>
            </a:ext>
          </a:extLst>
        </xdr:cNvPr>
        <xdr:cNvSpPr/>
      </xdr:nvSpPr>
      <xdr:spPr bwMode="auto">
        <a:xfrm>
          <a:off x="134874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10</xdr:row>
      <xdr:rowOff>119063</xdr:rowOff>
    </xdr:from>
    <xdr:to>
      <xdr:col>29</xdr:col>
      <xdr:colOff>0</xdr:colOff>
      <xdr:row>10</xdr:row>
      <xdr:rowOff>261938</xdr:rowOff>
    </xdr:to>
    <xdr:sp macro="" textlink="">
      <xdr:nvSpPr>
        <xdr:cNvPr id="115721" name="自動予定11">
          <a:extLst>
            <a:ext uri="{FF2B5EF4-FFF2-40B4-BE49-F238E27FC236}">
              <a16:creationId xmlns:a16="http://schemas.microsoft.com/office/drawing/2014/main" id="{AE6FD799-2AF6-6118-7ACD-BBEC778F9529}"/>
            </a:ext>
          </a:extLst>
        </xdr:cNvPr>
        <xdr:cNvSpPr/>
      </xdr:nvSpPr>
      <xdr:spPr bwMode="auto">
        <a:xfrm>
          <a:off x="13001625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119063</xdr:rowOff>
    </xdr:from>
    <xdr:to>
      <xdr:col>27</xdr:col>
      <xdr:colOff>0</xdr:colOff>
      <xdr:row>9</xdr:row>
      <xdr:rowOff>261938</xdr:rowOff>
    </xdr:to>
    <xdr:sp macro="" textlink="">
      <xdr:nvSpPr>
        <xdr:cNvPr id="115719" name="自動予定10">
          <a:extLst>
            <a:ext uri="{FF2B5EF4-FFF2-40B4-BE49-F238E27FC236}">
              <a16:creationId xmlns:a16="http://schemas.microsoft.com/office/drawing/2014/main" id="{B9F7F42D-317C-17A6-2E50-C7863A99DF06}"/>
            </a:ext>
          </a:extLst>
        </xdr:cNvPr>
        <xdr:cNvSpPr/>
      </xdr:nvSpPr>
      <xdr:spPr bwMode="auto">
        <a:xfrm>
          <a:off x="12677775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9</xdr:row>
      <xdr:rowOff>233363</xdr:rowOff>
    </xdr:from>
    <xdr:to>
      <xdr:col>26</xdr:col>
      <xdr:colOff>0</xdr:colOff>
      <xdr:row>9</xdr:row>
      <xdr:rowOff>233363</xdr:rowOff>
    </xdr:to>
    <xdr:cxnSp macro="">
      <xdr:nvCxnSpPr>
        <xdr:cNvPr id="115720" name="自動進捗10">
          <a:extLst>
            <a:ext uri="{FF2B5EF4-FFF2-40B4-BE49-F238E27FC236}">
              <a16:creationId xmlns:a16="http://schemas.microsoft.com/office/drawing/2014/main" id="{4840C3BE-328E-5D67-EB70-412815559492}"/>
            </a:ext>
          </a:extLst>
        </xdr:cNvPr>
        <xdr:cNvCxnSpPr/>
      </xdr:nvCxnSpPr>
      <xdr:spPr bwMode="auto">
        <a:xfrm>
          <a:off x="12677775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0</xdr:colOff>
      <xdr:row>10</xdr:row>
      <xdr:rowOff>233363</xdr:rowOff>
    </xdr:from>
    <xdr:to>
      <xdr:col>28</xdr:col>
      <xdr:colOff>0</xdr:colOff>
      <xdr:row>10</xdr:row>
      <xdr:rowOff>233363</xdr:rowOff>
    </xdr:to>
    <xdr:cxnSp macro="">
      <xdr:nvCxnSpPr>
        <xdr:cNvPr id="115722" name="自動進捗11">
          <a:extLst>
            <a:ext uri="{FF2B5EF4-FFF2-40B4-BE49-F238E27FC236}">
              <a16:creationId xmlns:a16="http://schemas.microsoft.com/office/drawing/2014/main" id="{20618932-ADD7-E54F-FC32-7A25A137923C}"/>
            </a:ext>
          </a:extLst>
        </xdr:cNvPr>
        <xdr:cNvCxnSpPr/>
      </xdr:nvCxnSpPr>
      <xdr:spPr bwMode="auto">
        <a:xfrm>
          <a:off x="13001625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11</xdr:row>
      <xdr:rowOff>233363</xdr:rowOff>
    </xdr:from>
    <xdr:to>
      <xdr:col>31</xdr:col>
      <xdr:colOff>0</xdr:colOff>
      <xdr:row>11</xdr:row>
      <xdr:rowOff>233363</xdr:rowOff>
    </xdr:to>
    <xdr:cxnSp macro="">
      <xdr:nvCxnSpPr>
        <xdr:cNvPr id="115724" name="自動進捗12">
          <a:extLst>
            <a:ext uri="{FF2B5EF4-FFF2-40B4-BE49-F238E27FC236}">
              <a16:creationId xmlns:a16="http://schemas.microsoft.com/office/drawing/2014/main" id="{45404101-3832-10D1-9FEA-9519CA84E84E}"/>
            </a:ext>
          </a:extLst>
        </xdr:cNvPr>
        <xdr:cNvCxnSpPr/>
      </xdr:nvCxnSpPr>
      <xdr:spPr bwMode="auto">
        <a:xfrm>
          <a:off x="13487400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12</xdr:row>
      <xdr:rowOff>233363</xdr:rowOff>
    </xdr:from>
    <xdr:to>
      <xdr:col>32</xdr:col>
      <xdr:colOff>0</xdr:colOff>
      <xdr:row>12</xdr:row>
      <xdr:rowOff>233363</xdr:rowOff>
    </xdr:to>
    <xdr:cxnSp macro="">
      <xdr:nvCxnSpPr>
        <xdr:cNvPr id="115726" name="自動進捗13">
          <a:extLst>
            <a:ext uri="{FF2B5EF4-FFF2-40B4-BE49-F238E27FC236}">
              <a16:creationId xmlns:a16="http://schemas.microsoft.com/office/drawing/2014/main" id="{06AC6AA1-DFBE-D0D0-3872-E5CFDBFD9686}"/>
            </a:ext>
          </a:extLst>
        </xdr:cNvPr>
        <xdr:cNvCxnSpPr/>
      </xdr:nvCxnSpPr>
      <xdr:spPr bwMode="auto">
        <a:xfrm>
          <a:off x="13649325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33</xdr:col>
      <xdr:colOff>0</xdr:colOff>
      <xdr:row>13</xdr:row>
      <xdr:rowOff>233363</xdr:rowOff>
    </xdr:from>
    <xdr:to>
      <xdr:col>33</xdr:col>
      <xdr:colOff>0</xdr:colOff>
      <xdr:row>13</xdr:row>
      <xdr:rowOff>233363</xdr:rowOff>
    </xdr:to>
    <xdr:cxnSp macro="">
      <xdr:nvCxnSpPr>
        <xdr:cNvPr id="115728" name="自動進捗14">
          <a:extLst>
            <a:ext uri="{FF2B5EF4-FFF2-40B4-BE49-F238E27FC236}">
              <a16:creationId xmlns:a16="http://schemas.microsoft.com/office/drawing/2014/main" id="{600134BF-35E7-D0E6-EAD6-9695DE009ED4}"/>
            </a:ext>
          </a:extLst>
        </xdr:cNvPr>
        <xdr:cNvCxnSpPr/>
      </xdr:nvCxnSpPr>
      <xdr:spPr bwMode="auto">
        <a:xfrm>
          <a:off x="13811250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0</xdr:colOff>
      <xdr:row>14</xdr:row>
      <xdr:rowOff>233363</xdr:rowOff>
    </xdr:from>
    <xdr:to>
      <xdr:col>35</xdr:col>
      <xdr:colOff>0</xdr:colOff>
      <xdr:row>14</xdr:row>
      <xdr:rowOff>233363</xdr:rowOff>
    </xdr:to>
    <xdr:cxnSp macro="">
      <xdr:nvCxnSpPr>
        <xdr:cNvPr id="115730" name="自動進捗15">
          <a:extLst>
            <a:ext uri="{FF2B5EF4-FFF2-40B4-BE49-F238E27FC236}">
              <a16:creationId xmlns:a16="http://schemas.microsoft.com/office/drawing/2014/main" id="{1205EE22-58D5-C0F2-4BE4-76C718538493}"/>
            </a:ext>
          </a:extLst>
        </xdr:cNvPr>
        <xdr:cNvCxnSpPr/>
      </xdr:nvCxnSpPr>
      <xdr:spPr bwMode="auto">
        <a:xfrm>
          <a:off x="141351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15</xdr:row>
      <xdr:rowOff>233363</xdr:rowOff>
    </xdr:from>
    <xdr:to>
      <xdr:col>38</xdr:col>
      <xdr:colOff>0</xdr:colOff>
      <xdr:row>15</xdr:row>
      <xdr:rowOff>233363</xdr:rowOff>
    </xdr:to>
    <xdr:cxnSp macro="">
      <xdr:nvCxnSpPr>
        <xdr:cNvPr id="115732" name="自動進捗16">
          <a:extLst>
            <a:ext uri="{FF2B5EF4-FFF2-40B4-BE49-F238E27FC236}">
              <a16:creationId xmlns:a16="http://schemas.microsoft.com/office/drawing/2014/main" id="{C3059247-7314-4BF0-DFAA-388F5EFC2B4E}"/>
            </a:ext>
          </a:extLst>
        </xdr:cNvPr>
        <xdr:cNvCxnSpPr/>
      </xdr:nvCxnSpPr>
      <xdr:spPr bwMode="auto">
        <a:xfrm>
          <a:off x="14620875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16</xdr:row>
      <xdr:rowOff>233363</xdr:rowOff>
    </xdr:from>
    <xdr:to>
      <xdr:col>40</xdr:col>
      <xdr:colOff>0</xdr:colOff>
      <xdr:row>16</xdr:row>
      <xdr:rowOff>233363</xdr:rowOff>
    </xdr:to>
    <xdr:cxnSp macro="">
      <xdr:nvCxnSpPr>
        <xdr:cNvPr id="115734" name="自動進捗17">
          <a:extLst>
            <a:ext uri="{FF2B5EF4-FFF2-40B4-BE49-F238E27FC236}">
              <a16:creationId xmlns:a16="http://schemas.microsoft.com/office/drawing/2014/main" id="{D17B5EB0-0A1F-228B-615A-6038601202E1}"/>
            </a:ext>
          </a:extLst>
        </xdr:cNvPr>
        <xdr:cNvCxnSpPr/>
      </xdr:nvCxnSpPr>
      <xdr:spPr bwMode="auto">
        <a:xfrm>
          <a:off x="14944725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42</xdr:col>
      <xdr:colOff>0</xdr:colOff>
      <xdr:row>17</xdr:row>
      <xdr:rowOff>233363</xdr:rowOff>
    </xdr:from>
    <xdr:to>
      <xdr:col>42</xdr:col>
      <xdr:colOff>0</xdr:colOff>
      <xdr:row>17</xdr:row>
      <xdr:rowOff>233363</xdr:rowOff>
    </xdr:to>
    <xdr:cxnSp macro="">
      <xdr:nvCxnSpPr>
        <xdr:cNvPr id="115736" name="自動進捗18">
          <a:extLst>
            <a:ext uri="{FF2B5EF4-FFF2-40B4-BE49-F238E27FC236}">
              <a16:creationId xmlns:a16="http://schemas.microsoft.com/office/drawing/2014/main" id="{DF8D4DCF-8B9F-198D-4706-5906421E9DC0}"/>
            </a:ext>
          </a:extLst>
        </xdr:cNvPr>
        <xdr:cNvCxnSpPr/>
      </xdr:nvCxnSpPr>
      <xdr:spPr bwMode="auto">
        <a:xfrm>
          <a:off x="15268575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18</xdr:row>
      <xdr:rowOff>233363</xdr:rowOff>
    </xdr:from>
    <xdr:to>
      <xdr:col>45</xdr:col>
      <xdr:colOff>0</xdr:colOff>
      <xdr:row>18</xdr:row>
      <xdr:rowOff>233363</xdr:rowOff>
    </xdr:to>
    <xdr:cxnSp macro="">
      <xdr:nvCxnSpPr>
        <xdr:cNvPr id="115738" name="自動進捗19">
          <a:extLst>
            <a:ext uri="{FF2B5EF4-FFF2-40B4-BE49-F238E27FC236}">
              <a16:creationId xmlns:a16="http://schemas.microsoft.com/office/drawing/2014/main" id="{B4C34CE9-E925-1C07-F324-B16F0A7951F6}"/>
            </a:ext>
          </a:extLst>
        </xdr:cNvPr>
        <xdr:cNvCxnSpPr/>
      </xdr:nvCxnSpPr>
      <xdr:spPr bwMode="auto">
        <a:xfrm>
          <a:off x="15754350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47</xdr:col>
      <xdr:colOff>0</xdr:colOff>
      <xdr:row>20</xdr:row>
      <xdr:rowOff>233363</xdr:rowOff>
    </xdr:from>
    <xdr:to>
      <xdr:col>47</xdr:col>
      <xdr:colOff>0</xdr:colOff>
      <xdr:row>20</xdr:row>
      <xdr:rowOff>233363</xdr:rowOff>
    </xdr:to>
    <xdr:cxnSp macro="">
      <xdr:nvCxnSpPr>
        <xdr:cNvPr id="115740" name="自動進捗21">
          <a:extLst>
            <a:ext uri="{FF2B5EF4-FFF2-40B4-BE49-F238E27FC236}">
              <a16:creationId xmlns:a16="http://schemas.microsoft.com/office/drawing/2014/main" id="{FE2EC96F-C2C0-2215-B6CA-DF0C33BFA2FF}"/>
            </a:ext>
          </a:extLst>
        </xdr:cNvPr>
        <xdr:cNvCxnSpPr/>
      </xdr:nvCxnSpPr>
      <xdr:spPr bwMode="auto">
        <a:xfrm>
          <a:off x="16078200" y="607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22</xdr:row>
      <xdr:rowOff>233363</xdr:rowOff>
    </xdr:from>
    <xdr:to>
      <xdr:col>38</xdr:col>
      <xdr:colOff>0</xdr:colOff>
      <xdr:row>22</xdr:row>
      <xdr:rowOff>233363</xdr:rowOff>
    </xdr:to>
    <xdr:cxnSp macro="">
      <xdr:nvCxnSpPr>
        <xdr:cNvPr id="115742" name="自動進捗23">
          <a:extLst>
            <a:ext uri="{FF2B5EF4-FFF2-40B4-BE49-F238E27FC236}">
              <a16:creationId xmlns:a16="http://schemas.microsoft.com/office/drawing/2014/main" id="{E2381761-0A3E-0757-F213-7B5A1F015766}"/>
            </a:ext>
          </a:extLst>
        </xdr:cNvPr>
        <xdr:cNvCxnSpPr/>
      </xdr:nvCxnSpPr>
      <xdr:spPr bwMode="auto">
        <a:xfrm>
          <a:off x="14620875" y="683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23</xdr:row>
      <xdr:rowOff>233363</xdr:rowOff>
    </xdr:from>
    <xdr:to>
      <xdr:col>40</xdr:col>
      <xdr:colOff>0</xdr:colOff>
      <xdr:row>23</xdr:row>
      <xdr:rowOff>233363</xdr:rowOff>
    </xdr:to>
    <xdr:cxnSp macro="">
      <xdr:nvCxnSpPr>
        <xdr:cNvPr id="115744" name="自動進捗24">
          <a:extLst>
            <a:ext uri="{FF2B5EF4-FFF2-40B4-BE49-F238E27FC236}">
              <a16:creationId xmlns:a16="http://schemas.microsoft.com/office/drawing/2014/main" id="{27778C0C-E445-0C83-AC5A-ED55442B411A}"/>
            </a:ext>
          </a:extLst>
        </xdr:cNvPr>
        <xdr:cNvCxnSpPr/>
      </xdr:nvCxnSpPr>
      <xdr:spPr bwMode="auto">
        <a:xfrm>
          <a:off x="14944725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24</xdr:row>
      <xdr:rowOff>233363</xdr:rowOff>
    </xdr:from>
    <xdr:to>
      <xdr:col>45</xdr:col>
      <xdr:colOff>0</xdr:colOff>
      <xdr:row>24</xdr:row>
      <xdr:rowOff>233363</xdr:rowOff>
    </xdr:to>
    <xdr:cxnSp macro="">
      <xdr:nvCxnSpPr>
        <xdr:cNvPr id="115746" name="自動進捗25">
          <a:extLst>
            <a:ext uri="{FF2B5EF4-FFF2-40B4-BE49-F238E27FC236}">
              <a16:creationId xmlns:a16="http://schemas.microsoft.com/office/drawing/2014/main" id="{622808E8-3728-C7AF-42A0-FE54F15B909F}"/>
            </a:ext>
          </a:extLst>
        </xdr:cNvPr>
        <xdr:cNvCxnSpPr/>
      </xdr:nvCxnSpPr>
      <xdr:spPr bwMode="auto">
        <a:xfrm>
          <a:off x="15754350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25</xdr:row>
      <xdr:rowOff>233363</xdr:rowOff>
    </xdr:from>
    <xdr:to>
      <xdr:col>54</xdr:col>
      <xdr:colOff>0</xdr:colOff>
      <xdr:row>25</xdr:row>
      <xdr:rowOff>233363</xdr:rowOff>
    </xdr:to>
    <xdr:cxnSp macro="">
      <xdr:nvCxnSpPr>
        <xdr:cNvPr id="115748" name="自動進捗26">
          <a:extLst>
            <a:ext uri="{FF2B5EF4-FFF2-40B4-BE49-F238E27FC236}">
              <a16:creationId xmlns:a16="http://schemas.microsoft.com/office/drawing/2014/main" id="{39C7C8F2-EAD0-1B6A-9719-C071895E412B}"/>
            </a:ext>
          </a:extLst>
        </xdr:cNvPr>
        <xdr:cNvCxnSpPr/>
      </xdr:nvCxnSpPr>
      <xdr:spPr bwMode="auto">
        <a:xfrm>
          <a:off x="1725930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26</xdr:row>
      <xdr:rowOff>233363</xdr:rowOff>
    </xdr:from>
    <xdr:to>
      <xdr:col>52</xdr:col>
      <xdr:colOff>0</xdr:colOff>
      <xdr:row>26</xdr:row>
      <xdr:rowOff>233363</xdr:rowOff>
    </xdr:to>
    <xdr:cxnSp macro="">
      <xdr:nvCxnSpPr>
        <xdr:cNvPr id="115750" name="自動進捗27">
          <a:extLst>
            <a:ext uri="{FF2B5EF4-FFF2-40B4-BE49-F238E27FC236}">
              <a16:creationId xmlns:a16="http://schemas.microsoft.com/office/drawing/2014/main" id="{08E4D272-17A6-C251-8D37-E8E1C705097E}"/>
            </a:ext>
          </a:extLst>
        </xdr:cNvPr>
        <xdr:cNvCxnSpPr/>
      </xdr:nvCxnSpPr>
      <xdr:spPr bwMode="auto">
        <a:xfrm>
          <a:off x="16935450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27</xdr:row>
      <xdr:rowOff>233363</xdr:rowOff>
    </xdr:from>
    <xdr:to>
      <xdr:col>54</xdr:col>
      <xdr:colOff>0</xdr:colOff>
      <xdr:row>27</xdr:row>
      <xdr:rowOff>233363</xdr:rowOff>
    </xdr:to>
    <xdr:cxnSp macro="">
      <xdr:nvCxnSpPr>
        <xdr:cNvPr id="115752" name="自動進捗28">
          <a:extLst>
            <a:ext uri="{FF2B5EF4-FFF2-40B4-BE49-F238E27FC236}">
              <a16:creationId xmlns:a16="http://schemas.microsoft.com/office/drawing/2014/main" id="{3748A5EA-7DC8-EB12-C0E6-9416AB6F6D14}"/>
            </a:ext>
          </a:extLst>
        </xdr:cNvPr>
        <xdr:cNvCxnSpPr/>
      </xdr:nvCxnSpPr>
      <xdr:spPr bwMode="auto">
        <a:xfrm>
          <a:off x="17259300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29</xdr:row>
      <xdr:rowOff>233363</xdr:rowOff>
    </xdr:from>
    <xdr:to>
      <xdr:col>66</xdr:col>
      <xdr:colOff>0</xdr:colOff>
      <xdr:row>29</xdr:row>
      <xdr:rowOff>233363</xdr:rowOff>
    </xdr:to>
    <xdr:cxnSp macro="">
      <xdr:nvCxnSpPr>
        <xdr:cNvPr id="115754" name="自動進捗30">
          <a:extLst>
            <a:ext uri="{FF2B5EF4-FFF2-40B4-BE49-F238E27FC236}">
              <a16:creationId xmlns:a16="http://schemas.microsoft.com/office/drawing/2014/main" id="{47E86164-41D3-AE3F-CE10-ADB8086804FC}"/>
            </a:ext>
          </a:extLst>
        </xdr:cNvPr>
        <xdr:cNvCxnSpPr/>
      </xdr:nvCxnSpPr>
      <xdr:spPr bwMode="auto">
        <a:xfrm>
          <a:off x="192024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30</xdr:row>
      <xdr:rowOff>233363</xdr:rowOff>
    </xdr:from>
    <xdr:to>
      <xdr:col>66</xdr:col>
      <xdr:colOff>0</xdr:colOff>
      <xdr:row>30</xdr:row>
      <xdr:rowOff>233363</xdr:rowOff>
    </xdr:to>
    <xdr:cxnSp macro="">
      <xdr:nvCxnSpPr>
        <xdr:cNvPr id="115756" name="自動進捗31">
          <a:extLst>
            <a:ext uri="{FF2B5EF4-FFF2-40B4-BE49-F238E27FC236}">
              <a16:creationId xmlns:a16="http://schemas.microsoft.com/office/drawing/2014/main" id="{FD1F9DA7-B732-2D2F-C5A0-705F757F3C7B}"/>
            </a:ext>
          </a:extLst>
        </xdr:cNvPr>
        <xdr:cNvCxnSpPr/>
      </xdr:nvCxnSpPr>
      <xdr:spPr bwMode="auto">
        <a:xfrm>
          <a:off x="19202400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68</xdr:col>
      <xdr:colOff>0</xdr:colOff>
      <xdr:row>32</xdr:row>
      <xdr:rowOff>233363</xdr:rowOff>
    </xdr:from>
    <xdr:to>
      <xdr:col>68</xdr:col>
      <xdr:colOff>0</xdr:colOff>
      <xdr:row>32</xdr:row>
      <xdr:rowOff>233363</xdr:rowOff>
    </xdr:to>
    <xdr:cxnSp macro="">
      <xdr:nvCxnSpPr>
        <xdr:cNvPr id="115758" name="自動進捗33">
          <a:extLst>
            <a:ext uri="{FF2B5EF4-FFF2-40B4-BE49-F238E27FC236}">
              <a16:creationId xmlns:a16="http://schemas.microsoft.com/office/drawing/2014/main" id="{65FCBDC4-DCAA-5F1C-AE22-B664ACF37EB9}"/>
            </a:ext>
          </a:extLst>
        </xdr:cNvPr>
        <xdr:cNvCxnSpPr/>
      </xdr:nvCxnSpPr>
      <xdr:spPr bwMode="auto">
        <a:xfrm>
          <a:off x="19526250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69</xdr:col>
      <xdr:colOff>0</xdr:colOff>
      <xdr:row>34</xdr:row>
      <xdr:rowOff>233363</xdr:rowOff>
    </xdr:from>
    <xdr:to>
      <xdr:col>69</xdr:col>
      <xdr:colOff>0</xdr:colOff>
      <xdr:row>34</xdr:row>
      <xdr:rowOff>233363</xdr:rowOff>
    </xdr:to>
    <xdr:cxnSp macro="">
      <xdr:nvCxnSpPr>
        <xdr:cNvPr id="115760" name="自動進捗35">
          <a:extLst>
            <a:ext uri="{FF2B5EF4-FFF2-40B4-BE49-F238E27FC236}">
              <a16:creationId xmlns:a16="http://schemas.microsoft.com/office/drawing/2014/main" id="{0DEA7F9D-D750-0A40-B4AA-B47F058BF98F}"/>
            </a:ext>
          </a:extLst>
        </xdr:cNvPr>
        <xdr:cNvCxnSpPr/>
      </xdr:nvCxnSpPr>
      <xdr:spPr bwMode="auto">
        <a:xfrm>
          <a:off x="19688175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70</xdr:col>
      <xdr:colOff>0</xdr:colOff>
      <xdr:row>35</xdr:row>
      <xdr:rowOff>233363</xdr:rowOff>
    </xdr:from>
    <xdr:to>
      <xdr:col>70</xdr:col>
      <xdr:colOff>0</xdr:colOff>
      <xdr:row>35</xdr:row>
      <xdr:rowOff>233363</xdr:rowOff>
    </xdr:to>
    <xdr:cxnSp macro="">
      <xdr:nvCxnSpPr>
        <xdr:cNvPr id="115762" name="自動進捗36">
          <a:extLst>
            <a:ext uri="{FF2B5EF4-FFF2-40B4-BE49-F238E27FC236}">
              <a16:creationId xmlns:a16="http://schemas.microsoft.com/office/drawing/2014/main" id="{853E53CF-D467-3FB7-F0E4-D9A941679331}"/>
            </a:ext>
          </a:extLst>
        </xdr:cNvPr>
        <xdr:cNvCxnSpPr/>
      </xdr:nvCxnSpPr>
      <xdr:spPr bwMode="auto">
        <a:xfrm>
          <a:off x="19850100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36</xdr:row>
      <xdr:rowOff>233363</xdr:rowOff>
    </xdr:from>
    <xdr:to>
      <xdr:col>73</xdr:col>
      <xdr:colOff>0</xdr:colOff>
      <xdr:row>36</xdr:row>
      <xdr:rowOff>233363</xdr:rowOff>
    </xdr:to>
    <xdr:cxnSp macro="">
      <xdr:nvCxnSpPr>
        <xdr:cNvPr id="115764" name="自動進捗37">
          <a:extLst>
            <a:ext uri="{FF2B5EF4-FFF2-40B4-BE49-F238E27FC236}">
              <a16:creationId xmlns:a16="http://schemas.microsoft.com/office/drawing/2014/main" id="{A9A8D0EB-75A7-92AF-3320-1C88C1B1BDF4}"/>
            </a:ext>
          </a:extLst>
        </xdr:cNvPr>
        <xdr:cNvCxnSpPr/>
      </xdr:nvCxnSpPr>
      <xdr:spPr bwMode="auto">
        <a:xfrm>
          <a:off x="203263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82</xdr:col>
      <xdr:colOff>0</xdr:colOff>
      <xdr:row>37</xdr:row>
      <xdr:rowOff>233363</xdr:rowOff>
    </xdr:from>
    <xdr:to>
      <xdr:col>82</xdr:col>
      <xdr:colOff>0</xdr:colOff>
      <xdr:row>37</xdr:row>
      <xdr:rowOff>233363</xdr:rowOff>
    </xdr:to>
    <xdr:cxnSp macro="">
      <xdr:nvCxnSpPr>
        <xdr:cNvPr id="115766" name="自動進捗38">
          <a:extLst>
            <a:ext uri="{FF2B5EF4-FFF2-40B4-BE49-F238E27FC236}">
              <a16:creationId xmlns:a16="http://schemas.microsoft.com/office/drawing/2014/main" id="{39953BF3-C534-D48D-EB9C-25185AE23B3F}"/>
            </a:ext>
          </a:extLst>
        </xdr:cNvPr>
        <xdr:cNvCxnSpPr/>
      </xdr:nvCxnSpPr>
      <xdr:spPr bwMode="auto">
        <a:xfrm>
          <a:off x="21783675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89</xdr:col>
      <xdr:colOff>0</xdr:colOff>
      <xdr:row>38</xdr:row>
      <xdr:rowOff>233363</xdr:rowOff>
    </xdr:from>
    <xdr:to>
      <xdr:col>89</xdr:col>
      <xdr:colOff>0</xdr:colOff>
      <xdr:row>38</xdr:row>
      <xdr:rowOff>233363</xdr:rowOff>
    </xdr:to>
    <xdr:cxnSp macro="">
      <xdr:nvCxnSpPr>
        <xdr:cNvPr id="115768" name="自動進捗39">
          <a:extLst>
            <a:ext uri="{FF2B5EF4-FFF2-40B4-BE49-F238E27FC236}">
              <a16:creationId xmlns:a16="http://schemas.microsoft.com/office/drawing/2014/main" id="{78099734-603B-3236-4C17-17191BAFB5CF}"/>
            </a:ext>
          </a:extLst>
        </xdr:cNvPr>
        <xdr:cNvCxnSpPr/>
      </xdr:nvCxnSpPr>
      <xdr:spPr bwMode="auto">
        <a:xfrm>
          <a:off x="2291715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95</xdr:col>
      <xdr:colOff>0</xdr:colOff>
      <xdr:row>39</xdr:row>
      <xdr:rowOff>233363</xdr:rowOff>
    </xdr:from>
    <xdr:to>
      <xdr:col>95</xdr:col>
      <xdr:colOff>0</xdr:colOff>
      <xdr:row>39</xdr:row>
      <xdr:rowOff>233363</xdr:rowOff>
    </xdr:to>
    <xdr:cxnSp macro="">
      <xdr:nvCxnSpPr>
        <xdr:cNvPr id="115770" name="自動進捗40">
          <a:extLst>
            <a:ext uri="{FF2B5EF4-FFF2-40B4-BE49-F238E27FC236}">
              <a16:creationId xmlns:a16="http://schemas.microsoft.com/office/drawing/2014/main" id="{D8BC9188-19C1-456B-296D-E2747483EF59}"/>
            </a:ext>
          </a:extLst>
        </xdr:cNvPr>
        <xdr:cNvCxnSpPr/>
      </xdr:nvCxnSpPr>
      <xdr:spPr bwMode="auto">
        <a:xfrm>
          <a:off x="23888700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103</xdr:col>
      <xdr:colOff>0</xdr:colOff>
      <xdr:row>40</xdr:row>
      <xdr:rowOff>233363</xdr:rowOff>
    </xdr:from>
    <xdr:to>
      <xdr:col>103</xdr:col>
      <xdr:colOff>0</xdr:colOff>
      <xdr:row>40</xdr:row>
      <xdr:rowOff>233363</xdr:rowOff>
    </xdr:to>
    <xdr:cxnSp macro="">
      <xdr:nvCxnSpPr>
        <xdr:cNvPr id="115772" name="自動進捗41">
          <a:extLst>
            <a:ext uri="{FF2B5EF4-FFF2-40B4-BE49-F238E27FC236}">
              <a16:creationId xmlns:a16="http://schemas.microsoft.com/office/drawing/2014/main" id="{3FBF4950-8C6A-7327-2431-C51EE540E369}"/>
            </a:ext>
          </a:extLst>
        </xdr:cNvPr>
        <xdr:cNvCxnSpPr/>
      </xdr:nvCxnSpPr>
      <xdr:spPr bwMode="auto">
        <a:xfrm>
          <a:off x="25184100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115</xdr:col>
      <xdr:colOff>0</xdr:colOff>
      <xdr:row>43</xdr:row>
      <xdr:rowOff>233363</xdr:rowOff>
    </xdr:from>
    <xdr:to>
      <xdr:col>115</xdr:col>
      <xdr:colOff>0</xdr:colOff>
      <xdr:row>43</xdr:row>
      <xdr:rowOff>233363</xdr:rowOff>
    </xdr:to>
    <xdr:cxnSp macro="">
      <xdr:nvCxnSpPr>
        <xdr:cNvPr id="115774" name="自動進捗44">
          <a:extLst>
            <a:ext uri="{FF2B5EF4-FFF2-40B4-BE49-F238E27FC236}">
              <a16:creationId xmlns:a16="http://schemas.microsoft.com/office/drawing/2014/main" id="{D88C8217-B5D0-14F7-F3D1-03F3B80485FC}"/>
            </a:ext>
          </a:extLst>
        </xdr:cNvPr>
        <xdr:cNvCxnSpPr/>
      </xdr:nvCxnSpPr>
      <xdr:spPr bwMode="auto">
        <a:xfrm>
          <a:off x="2712720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45</xdr:row>
      <xdr:rowOff>233363</xdr:rowOff>
    </xdr:from>
    <xdr:to>
      <xdr:col>141</xdr:col>
      <xdr:colOff>0</xdr:colOff>
      <xdr:row>45</xdr:row>
      <xdr:rowOff>233363</xdr:rowOff>
    </xdr:to>
    <xdr:cxnSp macro="">
      <xdr:nvCxnSpPr>
        <xdr:cNvPr id="170880" name="自動進捗46">
          <a:extLst>
            <a:ext uri="{FF2B5EF4-FFF2-40B4-BE49-F238E27FC236}">
              <a16:creationId xmlns:a16="http://schemas.microsoft.com/office/drawing/2014/main" id="{86FE4F4D-0BAF-AD46-B272-06E89FDEF4D7}"/>
            </a:ext>
          </a:extLst>
        </xdr:cNvPr>
        <xdr:cNvCxnSpPr/>
      </xdr:nvCxnSpPr>
      <xdr:spPr bwMode="auto">
        <a:xfrm>
          <a:off x="313372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48</xdr:row>
      <xdr:rowOff>233363</xdr:rowOff>
    </xdr:from>
    <xdr:to>
      <xdr:col>171</xdr:col>
      <xdr:colOff>0</xdr:colOff>
      <xdr:row>48</xdr:row>
      <xdr:rowOff>233363</xdr:rowOff>
    </xdr:to>
    <xdr:cxnSp macro="">
      <xdr:nvCxnSpPr>
        <xdr:cNvPr id="170882" name="自動進捗49">
          <a:extLst>
            <a:ext uri="{FF2B5EF4-FFF2-40B4-BE49-F238E27FC236}">
              <a16:creationId xmlns:a16="http://schemas.microsoft.com/office/drawing/2014/main" id="{29B07625-49C9-CD79-8C25-6648BD07D852}"/>
            </a:ext>
          </a:extLst>
        </xdr:cNvPr>
        <xdr:cNvCxnSpPr/>
      </xdr:nvCxnSpPr>
      <xdr:spPr bwMode="auto">
        <a:xfrm>
          <a:off x="362616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49</xdr:row>
      <xdr:rowOff>233363</xdr:rowOff>
    </xdr:from>
    <xdr:to>
      <xdr:col>141</xdr:col>
      <xdr:colOff>0</xdr:colOff>
      <xdr:row>49</xdr:row>
      <xdr:rowOff>233363</xdr:rowOff>
    </xdr:to>
    <xdr:cxnSp macro="">
      <xdr:nvCxnSpPr>
        <xdr:cNvPr id="170884" name="自動進捗50">
          <a:extLst>
            <a:ext uri="{FF2B5EF4-FFF2-40B4-BE49-F238E27FC236}">
              <a16:creationId xmlns:a16="http://schemas.microsoft.com/office/drawing/2014/main" id="{79B06B03-60C5-0D14-E554-568507DB4D19}"/>
            </a:ext>
          </a:extLst>
        </xdr:cNvPr>
        <xdr:cNvCxnSpPr/>
      </xdr:nvCxnSpPr>
      <xdr:spPr bwMode="auto">
        <a:xfrm>
          <a:off x="31337250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157</xdr:col>
      <xdr:colOff>0</xdr:colOff>
      <xdr:row>50</xdr:row>
      <xdr:rowOff>233363</xdr:rowOff>
    </xdr:from>
    <xdr:to>
      <xdr:col>157</xdr:col>
      <xdr:colOff>0</xdr:colOff>
      <xdr:row>50</xdr:row>
      <xdr:rowOff>233363</xdr:rowOff>
    </xdr:to>
    <xdr:cxnSp macro="">
      <xdr:nvCxnSpPr>
        <xdr:cNvPr id="170889" name="自動進捗51">
          <a:extLst>
            <a:ext uri="{FF2B5EF4-FFF2-40B4-BE49-F238E27FC236}">
              <a16:creationId xmlns:a16="http://schemas.microsoft.com/office/drawing/2014/main" id="{AC419833-F8EA-E06B-B5FB-4A746C52E4A2}"/>
            </a:ext>
          </a:extLst>
        </xdr:cNvPr>
        <xdr:cNvCxnSpPr/>
      </xdr:nvCxnSpPr>
      <xdr:spPr bwMode="auto">
        <a:xfrm>
          <a:off x="3399472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208</xdr:col>
      <xdr:colOff>0</xdr:colOff>
      <xdr:row>51</xdr:row>
      <xdr:rowOff>233363</xdr:rowOff>
    </xdr:from>
    <xdr:to>
      <xdr:col>208</xdr:col>
      <xdr:colOff>0</xdr:colOff>
      <xdr:row>51</xdr:row>
      <xdr:rowOff>233363</xdr:rowOff>
    </xdr:to>
    <xdr:cxnSp macro="">
      <xdr:nvCxnSpPr>
        <xdr:cNvPr id="170891" name="自動進捗52">
          <a:extLst>
            <a:ext uri="{FF2B5EF4-FFF2-40B4-BE49-F238E27FC236}">
              <a16:creationId xmlns:a16="http://schemas.microsoft.com/office/drawing/2014/main" id="{E34648B1-B7A2-4B24-CBE3-AD49177CA3D9}"/>
            </a:ext>
          </a:extLst>
        </xdr:cNvPr>
        <xdr:cNvCxnSpPr/>
      </xdr:nvCxnSpPr>
      <xdr:spPr bwMode="auto">
        <a:xfrm>
          <a:off x="423957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6</xdr:row>
      <xdr:rowOff>0</xdr:rowOff>
    </xdr:from>
    <xdr:to>
      <xdr:col>28</xdr:col>
      <xdr:colOff>80964</xdr:colOff>
      <xdr:row>54</xdr:row>
      <xdr:rowOff>1</xdr:rowOff>
    </xdr:to>
    <xdr:sp macro="" textlink="">
      <xdr:nvSpPr>
        <xdr:cNvPr id="170892" name="自動判定250711144054">
          <a:extLst>
            <a:ext uri="{FF2B5EF4-FFF2-40B4-BE49-F238E27FC236}">
              <a16:creationId xmlns:a16="http://schemas.microsoft.com/office/drawing/2014/main" id="{946472C4-F828-2DDF-6F3E-EF38790BC4EC}"/>
            </a:ext>
          </a:extLst>
        </xdr:cNvPr>
        <xdr:cNvSpPr/>
      </xdr:nvSpPr>
      <xdr:spPr bwMode="auto">
        <a:xfrm>
          <a:off x="12677775" y="1647825"/>
          <a:ext cx="404814" cy="17049751"/>
        </a:xfrm>
        <a:custGeom>
          <a:avLst/>
          <a:gdLst/>
          <a:ahLst/>
          <a:cxnLst/>
          <a:rect l="0" t="0" r="0" b="0"/>
          <a:pathLst>
            <a:path w="404814" h="17049751">
              <a:moveTo>
                <a:pt x="404813" y="0"/>
              </a:moveTo>
              <a:lnTo>
                <a:pt x="404813" y="119063"/>
              </a:lnTo>
              <a:lnTo>
                <a:pt x="0" y="190500"/>
              </a:lnTo>
              <a:lnTo>
                <a:pt x="404813" y="261938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  <a:lnTo>
                <a:pt x="404813" y="17049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7"/>
  <sheetViews>
    <sheetView showGridLines="0" tabSelected="1" zoomScale="70" zoomScaleNormal="7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A54" sqref="A54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38" t="s">
        <v>23</v>
      </c>
      <c r="C1" s="239"/>
      <c r="D1" s="239"/>
      <c r="E1" s="239"/>
      <c r="F1" s="240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45" t="s">
        <v>2</v>
      </c>
      <c r="T1" s="246"/>
      <c r="U1" s="246"/>
      <c r="V1" s="246"/>
      <c r="W1" s="247"/>
      <c r="X1" s="260">
        <v>45839</v>
      </c>
      <c r="Y1" s="248"/>
      <c r="Z1" s="248"/>
      <c r="AA1" s="248"/>
      <c r="AB1" s="248"/>
      <c r="AC1" s="248"/>
      <c r="AD1" s="248"/>
      <c r="AE1" s="248"/>
      <c r="AF1" s="261" t="s">
        <v>3</v>
      </c>
      <c r="AG1" s="262"/>
      <c r="AH1" s="248">
        <v>46037</v>
      </c>
      <c r="AI1" s="248"/>
      <c r="AJ1" s="248"/>
      <c r="AK1" s="248"/>
      <c r="AL1" s="248"/>
      <c r="AM1" s="248"/>
      <c r="AN1" s="248"/>
      <c r="AO1" s="249"/>
      <c r="AP1" s="245" t="s">
        <v>4</v>
      </c>
      <c r="AQ1" s="246"/>
      <c r="AR1" s="246"/>
      <c r="AS1" s="246"/>
      <c r="AT1" s="247"/>
      <c r="AU1" s="266">
        <f ca="1">TODAY()</f>
        <v>45849</v>
      </c>
      <c r="AV1" s="267"/>
      <c r="AW1" s="267"/>
      <c r="AX1" s="267"/>
      <c r="AY1" s="267"/>
      <c r="AZ1" s="267"/>
      <c r="BA1" s="267"/>
      <c r="BB1" s="267"/>
      <c r="BC1" s="267"/>
      <c r="BD1" s="267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45839</v>
      </c>
      <c r="T2" s="11">
        <f t="shared" ref="T2:CE2" si="0">S2+1</f>
        <v>45840</v>
      </c>
      <c r="U2" s="11">
        <f t="shared" si="0"/>
        <v>45841</v>
      </c>
      <c r="V2" s="11">
        <f t="shared" si="0"/>
        <v>45842</v>
      </c>
      <c r="W2" s="11">
        <f t="shared" si="0"/>
        <v>45843</v>
      </c>
      <c r="X2" s="11">
        <f t="shared" si="0"/>
        <v>45844</v>
      </c>
      <c r="Y2" s="11">
        <f t="shared" si="0"/>
        <v>45845</v>
      </c>
      <c r="Z2" s="11">
        <f t="shared" si="0"/>
        <v>45846</v>
      </c>
      <c r="AA2" s="11">
        <f t="shared" si="0"/>
        <v>45847</v>
      </c>
      <c r="AB2" s="11">
        <f t="shared" si="0"/>
        <v>45848</v>
      </c>
      <c r="AC2" s="11">
        <f t="shared" si="0"/>
        <v>45849</v>
      </c>
      <c r="AD2" s="11">
        <f t="shared" si="0"/>
        <v>45850</v>
      </c>
      <c r="AE2" s="11">
        <f t="shared" si="0"/>
        <v>45851</v>
      </c>
      <c r="AF2" s="11">
        <f t="shared" si="0"/>
        <v>45852</v>
      </c>
      <c r="AG2" s="11">
        <f t="shared" si="0"/>
        <v>45853</v>
      </c>
      <c r="AH2" s="11">
        <f t="shared" si="0"/>
        <v>45854</v>
      </c>
      <c r="AI2" s="11">
        <f t="shared" si="0"/>
        <v>45855</v>
      </c>
      <c r="AJ2" s="11">
        <f t="shared" si="0"/>
        <v>45856</v>
      </c>
      <c r="AK2" s="11">
        <f t="shared" si="0"/>
        <v>45857</v>
      </c>
      <c r="AL2" s="11">
        <f t="shared" si="0"/>
        <v>45858</v>
      </c>
      <c r="AM2" s="11">
        <f t="shared" si="0"/>
        <v>45859</v>
      </c>
      <c r="AN2" s="11">
        <f t="shared" si="0"/>
        <v>45860</v>
      </c>
      <c r="AO2" s="11">
        <f t="shared" si="0"/>
        <v>45861</v>
      </c>
      <c r="AP2" s="11">
        <f t="shared" si="0"/>
        <v>45862</v>
      </c>
      <c r="AQ2" s="11">
        <f t="shared" si="0"/>
        <v>45863</v>
      </c>
      <c r="AR2" s="11">
        <f t="shared" si="0"/>
        <v>45864</v>
      </c>
      <c r="AS2" s="11">
        <f t="shared" si="0"/>
        <v>45865</v>
      </c>
      <c r="AT2" s="11">
        <f t="shared" si="0"/>
        <v>45866</v>
      </c>
      <c r="AU2" s="11">
        <f t="shared" si="0"/>
        <v>45867</v>
      </c>
      <c r="AV2" s="11">
        <f t="shared" si="0"/>
        <v>45868</v>
      </c>
      <c r="AW2" s="11">
        <f t="shared" si="0"/>
        <v>45869</v>
      </c>
      <c r="AX2" s="11">
        <f t="shared" si="0"/>
        <v>45870</v>
      </c>
      <c r="AY2" s="11">
        <f t="shared" si="0"/>
        <v>45871</v>
      </c>
      <c r="AZ2" s="11">
        <f t="shared" si="0"/>
        <v>45872</v>
      </c>
      <c r="BA2" s="11">
        <f t="shared" si="0"/>
        <v>45873</v>
      </c>
      <c r="BB2" s="11">
        <f t="shared" si="0"/>
        <v>45874</v>
      </c>
      <c r="BC2" s="11">
        <f t="shared" si="0"/>
        <v>45875</v>
      </c>
      <c r="BD2" s="11">
        <f t="shared" si="0"/>
        <v>45876</v>
      </c>
      <c r="BE2" s="11">
        <f t="shared" si="0"/>
        <v>45877</v>
      </c>
      <c r="BF2" s="11">
        <f t="shared" si="0"/>
        <v>45878</v>
      </c>
      <c r="BG2" s="11">
        <f t="shared" si="0"/>
        <v>45879</v>
      </c>
      <c r="BH2" s="11">
        <f t="shared" si="0"/>
        <v>45880</v>
      </c>
      <c r="BI2" s="11">
        <f t="shared" si="0"/>
        <v>45881</v>
      </c>
      <c r="BJ2" s="11">
        <f t="shared" si="0"/>
        <v>45882</v>
      </c>
      <c r="BK2" s="11">
        <f t="shared" si="0"/>
        <v>45883</v>
      </c>
      <c r="BL2" s="11">
        <f t="shared" si="0"/>
        <v>45884</v>
      </c>
      <c r="BM2" s="11">
        <f t="shared" si="0"/>
        <v>45885</v>
      </c>
      <c r="BN2" s="11">
        <f t="shared" si="0"/>
        <v>45886</v>
      </c>
      <c r="BO2" s="11">
        <f t="shared" si="0"/>
        <v>45887</v>
      </c>
      <c r="BP2" s="11">
        <f t="shared" si="0"/>
        <v>45888</v>
      </c>
      <c r="BQ2" s="11">
        <f t="shared" si="0"/>
        <v>45889</v>
      </c>
      <c r="BR2" s="11">
        <f t="shared" si="0"/>
        <v>45890</v>
      </c>
      <c r="BS2" s="11">
        <f t="shared" si="0"/>
        <v>45891</v>
      </c>
      <c r="BT2" s="11">
        <f t="shared" si="0"/>
        <v>45892</v>
      </c>
      <c r="BU2" s="11">
        <f t="shared" si="0"/>
        <v>45893</v>
      </c>
      <c r="BV2" s="11">
        <f t="shared" si="0"/>
        <v>45894</v>
      </c>
      <c r="BW2" s="11">
        <f t="shared" si="0"/>
        <v>45895</v>
      </c>
      <c r="BX2" s="11">
        <f t="shared" si="0"/>
        <v>45896</v>
      </c>
      <c r="BY2" s="11">
        <f t="shared" si="0"/>
        <v>45897</v>
      </c>
      <c r="BZ2" s="11">
        <f t="shared" si="0"/>
        <v>45898</v>
      </c>
      <c r="CA2" s="11">
        <f t="shared" si="0"/>
        <v>45899</v>
      </c>
      <c r="CB2" s="11">
        <f t="shared" si="0"/>
        <v>45900</v>
      </c>
      <c r="CC2" s="11">
        <f t="shared" si="0"/>
        <v>45901</v>
      </c>
      <c r="CD2" s="11">
        <f t="shared" si="0"/>
        <v>45902</v>
      </c>
      <c r="CE2" s="11">
        <f t="shared" si="0"/>
        <v>45903</v>
      </c>
      <c r="CF2" s="11">
        <f t="shared" ref="CF2:DF2" si="1">CE2+1</f>
        <v>45904</v>
      </c>
      <c r="CG2" s="11">
        <f t="shared" si="1"/>
        <v>45905</v>
      </c>
      <c r="CH2" s="11">
        <f t="shared" si="1"/>
        <v>45906</v>
      </c>
      <c r="CI2" s="11">
        <f t="shared" si="1"/>
        <v>45907</v>
      </c>
      <c r="CJ2" s="11">
        <f t="shared" si="1"/>
        <v>45908</v>
      </c>
      <c r="CK2" s="11">
        <f t="shared" si="1"/>
        <v>45909</v>
      </c>
      <c r="CL2" s="11">
        <f t="shared" si="1"/>
        <v>45910</v>
      </c>
      <c r="CM2" s="11">
        <f t="shared" si="1"/>
        <v>45911</v>
      </c>
      <c r="CN2" s="11">
        <f t="shared" si="1"/>
        <v>45912</v>
      </c>
      <c r="CO2" s="11">
        <f t="shared" si="1"/>
        <v>45913</v>
      </c>
      <c r="CP2" s="11">
        <f t="shared" si="1"/>
        <v>45914</v>
      </c>
      <c r="CQ2" s="11">
        <f t="shared" si="1"/>
        <v>45915</v>
      </c>
      <c r="CR2" s="11">
        <f t="shared" si="1"/>
        <v>45916</v>
      </c>
      <c r="CS2" s="11">
        <f t="shared" si="1"/>
        <v>45917</v>
      </c>
      <c r="CT2" s="11">
        <f t="shared" si="1"/>
        <v>45918</v>
      </c>
      <c r="CU2" s="11">
        <f t="shared" si="1"/>
        <v>45919</v>
      </c>
      <c r="CV2" s="11">
        <f t="shared" si="1"/>
        <v>45920</v>
      </c>
      <c r="CW2" s="11">
        <f t="shared" si="1"/>
        <v>45921</v>
      </c>
      <c r="CX2" s="11">
        <f t="shared" si="1"/>
        <v>45922</v>
      </c>
      <c r="CY2" s="11">
        <f t="shared" si="1"/>
        <v>45923</v>
      </c>
      <c r="CZ2" s="11">
        <f t="shared" si="1"/>
        <v>45924</v>
      </c>
      <c r="DA2" s="11">
        <f t="shared" si="1"/>
        <v>45925</v>
      </c>
      <c r="DB2" s="11">
        <f t="shared" si="1"/>
        <v>45926</v>
      </c>
      <c r="DC2" s="11">
        <f t="shared" si="1"/>
        <v>45927</v>
      </c>
      <c r="DD2" s="11">
        <f t="shared" si="1"/>
        <v>45928</v>
      </c>
      <c r="DE2" s="11">
        <f t="shared" si="1"/>
        <v>45929</v>
      </c>
      <c r="DF2" s="11">
        <f t="shared" si="1"/>
        <v>45930</v>
      </c>
      <c r="DG2" s="11">
        <f t="shared" ref="DG2:EL2" si="2">DF2+1</f>
        <v>45931</v>
      </c>
      <c r="DH2" s="11">
        <f t="shared" si="2"/>
        <v>45932</v>
      </c>
      <c r="DI2" s="11">
        <f t="shared" si="2"/>
        <v>45933</v>
      </c>
      <c r="DJ2" s="11">
        <f t="shared" si="2"/>
        <v>45934</v>
      </c>
      <c r="DK2" s="11">
        <f t="shared" si="2"/>
        <v>45935</v>
      </c>
      <c r="DL2" s="11">
        <f t="shared" si="2"/>
        <v>45936</v>
      </c>
      <c r="DM2" s="11">
        <f t="shared" si="2"/>
        <v>45937</v>
      </c>
      <c r="DN2" s="11">
        <f t="shared" si="2"/>
        <v>45938</v>
      </c>
      <c r="DO2" s="11">
        <f t="shared" si="2"/>
        <v>45939</v>
      </c>
      <c r="DP2" s="11">
        <f t="shared" si="2"/>
        <v>45940</v>
      </c>
      <c r="DQ2" s="11">
        <f t="shared" si="2"/>
        <v>45941</v>
      </c>
      <c r="DR2" s="11">
        <f t="shared" si="2"/>
        <v>45942</v>
      </c>
      <c r="DS2" s="11">
        <f t="shared" si="2"/>
        <v>45943</v>
      </c>
      <c r="DT2" s="11">
        <f t="shared" si="2"/>
        <v>45944</v>
      </c>
      <c r="DU2" s="11">
        <f t="shared" si="2"/>
        <v>45945</v>
      </c>
      <c r="DV2" s="11">
        <f t="shared" si="2"/>
        <v>45946</v>
      </c>
      <c r="DW2" s="11">
        <f t="shared" si="2"/>
        <v>45947</v>
      </c>
      <c r="DX2" s="11">
        <f t="shared" si="2"/>
        <v>45948</v>
      </c>
      <c r="DY2" s="11">
        <f t="shared" si="2"/>
        <v>45949</v>
      </c>
      <c r="DZ2" s="11">
        <f t="shared" si="2"/>
        <v>45950</v>
      </c>
      <c r="EA2" s="11">
        <f t="shared" si="2"/>
        <v>45951</v>
      </c>
      <c r="EB2" s="11">
        <f t="shared" si="2"/>
        <v>45952</v>
      </c>
      <c r="EC2" s="11">
        <f t="shared" si="2"/>
        <v>45953</v>
      </c>
      <c r="ED2" s="11">
        <f t="shared" si="2"/>
        <v>45954</v>
      </c>
      <c r="EE2" s="11">
        <f t="shared" si="2"/>
        <v>45955</v>
      </c>
      <c r="EF2" s="11">
        <f t="shared" si="2"/>
        <v>45956</v>
      </c>
      <c r="EG2" s="11">
        <f t="shared" si="2"/>
        <v>45957</v>
      </c>
      <c r="EH2" s="11">
        <f t="shared" si="2"/>
        <v>45958</v>
      </c>
      <c r="EI2" s="11">
        <f t="shared" si="2"/>
        <v>45959</v>
      </c>
      <c r="EJ2" s="11">
        <f t="shared" si="2"/>
        <v>45960</v>
      </c>
      <c r="EK2" s="11">
        <f t="shared" si="2"/>
        <v>45961</v>
      </c>
      <c r="EL2" s="11">
        <f t="shared" si="2"/>
        <v>45962</v>
      </c>
      <c r="EM2" s="11">
        <f t="shared" ref="EM2:FR2" si="3">EL2+1</f>
        <v>45963</v>
      </c>
      <c r="EN2" s="11">
        <f t="shared" si="3"/>
        <v>45964</v>
      </c>
      <c r="EO2" s="11">
        <f t="shared" si="3"/>
        <v>45965</v>
      </c>
      <c r="EP2" s="11">
        <f t="shared" si="3"/>
        <v>45966</v>
      </c>
      <c r="EQ2" s="11">
        <f t="shared" si="3"/>
        <v>45967</v>
      </c>
      <c r="ER2" s="11">
        <f t="shared" si="3"/>
        <v>45968</v>
      </c>
      <c r="ES2" s="11">
        <f t="shared" si="3"/>
        <v>45969</v>
      </c>
      <c r="ET2" s="11">
        <f t="shared" si="3"/>
        <v>45970</v>
      </c>
      <c r="EU2" s="11">
        <f t="shared" si="3"/>
        <v>45971</v>
      </c>
      <c r="EV2" s="11">
        <f t="shared" si="3"/>
        <v>45972</v>
      </c>
      <c r="EW2" s="11">
        <f t="shared" si="3"/>
        <v>45973</v>
      </c>
      <c r="EX2" s="11">
        <f t="shared" si="3"/>
        <v>45974</v>
      </c>
      <c r="EY2" s="11">
        <f t="shared" si="3"/>
        <v>45975</v>
      </c>
      <c r="EZ2" s="11">
        <f t="shared" si="3"/>
        <v>45976</v>
      </c>
      <c r="FA2" s="11">
        <f t="shared" si="3"/>
        <v>45977</v>
      </c>
      <c r="FB2" s="11">
        <f t="shared" si="3"/>
        <v>45978</v>
      </c>
      <c r="FC2" s="11">
        <f t="shared" si="3"/>
        <v>45979</v>
      </c>
      <c r="FD2" s="11">
        <f t="shared" si="3"/>
        <v>45980</v>
      </c>
      <c r="FE2" s="11">
        <f t="shared" si="3"/>
        <v>45981</v>
      </c>
      <c r="FF2" s="11">
        <f t="shared" si="3"/>
        <v>45982</v>
      </c>
      <c r="FG2" s="11">
        <f t="shared" si="3"/>
        <v>45983</v>
      </c>
      <c r="FH2" s="11">
        <f t="shared" si="3"/>
        <v>45984</v>
      </c>
      <c r="FI2" s="11">
        <f t="shared" si="3"/>
        <v>45985</v>
      </c>
      <c r="FJ2" s="11">
        <f t="shared" si="3"/>
        <v>45986</v>
      </c>
      <c r="FK2" s="11">
        <f t="shared" si="3"/>
        <v>45987</v>
      </c>
      <c r="FL2" s="11">
        <f t="shared" si="3"/>
        <v>45988</v>
      </c>
      <c r="FM2" s="11">
        <f t="shared" si="3"/>
        <v>45989</v>
      </c>
      <c r="FN2" s="11">
        <f t="shared" si="3"/>
        <v>45990</v>
      </c>
      <c r="FO2" s="11">
        <f t="shared" si="3"/>
        <v>45991</v>
      </c>
      <c r="FP2" s="11">
        <f t="shared" si="3"/>
        <v>45992</v>
      </c>
      <c r="FQ2" s="11">
        <f t="shared" si="3"/>
        <v>45993</v>
      </c>
      <c r="FR2" s="11">
        <f t="shared" si="3"/>
        <v>45994</v>
      </c>
      <c r="FS2" s="11">
        <f t="shared" ref="FS2:GX2" si="4">FR2+1</f>
        <v>45995</v>
      </c>
      <c r="FT2" s="11">
        <f t="shared" si="4"/>
        <v>45996</v>
      </c>
      <c r="FU2" s="11">
        <f t="shared" si="4"/>
        <v>45997</v>
      </c>
      <c r="FV2" s="11">
        <f t="shared" si="4"/>
        <v>45998</v>
      </c>
      <c r="FW2" s="11">
        <f t="shared" si="4"/>
        <v>45999</v>
      </c>
      <c r="FX2" s="11">
        <f t="shared" si="4"/>
        <v>46000</v>
      </c>
      <c r="FY2" s="11">
        <f t="shared" si="4"/>
        <v>46001</v>
      </c>
      <c r="FZ2" s="11">
        <f t="shared" si="4"/>
        <v>46002</v>
      </c>
      <c r="GA2" s="11">
        <f t="shared" si="4"/>
        <v>46003</v>
      </c>
      <c r="GB2" s="11">
        <f t="shared" si="4"/>
        <v>46004</v>
      </c>
      <c r="GC2" s="11">
        <f t="shared" si="4"/>
        <v>46005</v>
      </c>
      <c r="GD2" s="11">
        <f t="shared" si="4"/>
        <v>46006</v>
      </c>
      <c r="GE2" s="11">
        <f t="shared" si="4"/>
        <v>46007</v>
      </c>
      <c r="GF2" s="11">
        <f t="shared" si="4"/>
        <v>46008</v>
      </c>
      <c r="GG2" s="11">
        <f t="shared" si="4"/>
        <v>46009</v>
      </c>
      <c r="GH2" s="11">
        <f t="shared" si="4"/>
        <v>46010</v>
      </c>
      <c r="GI2" s="11">
        <f t="shared" si="4"/>
        <v>46011</v>
      </c>
      <c r="GJ2" s="11">
        <f t="shared" si="4"/>
        <v>46012</v>
      </c>
      <c r="GK2" s="11">
        <f t="shared" si="4"/>
        <v>46013</v>
      </c>
      <c r="GL2" s="11">
        <f t="shared" si="4"/>
        <v>46014</v>
      </c>
      <c r="GM2" s="11">
        <f t="shared" si="4"/>
        <v>46015</v>
      </c>
      <c r="GN2" s="11">
        <f t="shared" si="4"/>
        <v>46016</v>
      </c>
      <c r="GO2" s="11">
        <f t="shared" si="4"/>
        <v>46017</v>
      </c>
      <c r="GP2" s="11">
        <f t="shared" si="4"/>
        <v>46018</v>
      </c>
      <c r="GQ2" s="11">
        <f t="shared" si="4"/>
        <v>46019</v>
      </c>
      <c r="GR2" s="11">
        <f t="shared" si="4"/>
        <v>46020</v>
      </c>
      <c r="GS2" s="11">
        <f t="shared" si="4"/>
        <v>46021</v>
      </c>
      <c r="GT2" s="11">
        <f t="shared" si="4"/>
        <v>46022</v>
      </c>
      <c r="GU2" s="11">
        <f t="shared" si="4"/>
        <v>46023</v>
      </c>
      <c r="GV2" s="11">
        <f t="shared" si="4"/>
        <v>46024</v>
      </c>
      <c r="GW2" s="11">
        <f t="shared" si="4"/>
        <v>46025</v>
      </c>
      <c r="GX2" s="11">
        <f t="shared" si="4"/>
        <v>46026</v>
      </c>
      <c r="GY2" s="11">
        <f t="shared" ref="GY2:HV2" si="5">GX2+1</f>
        <v>46027</v>
      </c>
      <c r="GZ2" s="11">
        <f t="shared" si="5"/>
        <v>46028</v>
      </c>
      <c r="HA2" s="11">
        <f t="shared" si="5"/>
        <v>46029</v>
      </c>
      <c r="HB2" s="11">
        <f t="shared" si="5"/>
        <v>46030</v>
      </c>
      <c r="HC2" s="11">
        <f t="shared" si="5"/>
        <v>46031</v>
      </c>
      <c r="HD2" s="11">
        <f t="shared" si="5"/>
        <v>46032</v>
      </c>
      <c r="HE2" s="11">
        <f t="shared" si="5"/>
        <v>46033</v>
      </c>
      <c r="HF2" s="11">
        <f t="shared" si="5"/>
        <v>46034</v>
      </c>
      <c r="HG2" s="11">
        <f t="shared" si="5"/>
        <v>46035</v>
      </c>
      <c r="HH2" s="11">
        <f t="shared" si="5"/>
        <v>46036</v>
      </c>
      <c r="HI2" s="11">
        <f t="shared" si="5"/>
        <v>46037</v>
      </c>
      <c r="HJ2" s="11">
        <f t="shared" si="5"/>
        <v>46038</v>
      </c>
      <c r="HK2" s="11">
        <f t="shared" si="5"/>
        <v>46039</v>
      </c>
      <c r="HL2" s="11">
        <f t="shared" si="5"/>
        <v>46040</v>
      </c>
      <c r="HM2" s="11">
        <f t="shared" si="5"/>
        <v>46041</v>
      </c>
      <c r="HN2" s="11">
        <f t="shared" si="5"/>
        <v>46042</v>
      </c>
      <c r="HO2" s="11">
        <f t="shared" si="5"/>
        <v>46043</v>
      </c>
      <c r="HP2" s="11">
        <f t="shared" si="5"/>
        <v>46044</v>
      </c>
      <c r="HQ2" s="11">
        <f t="shared" si="5"/>
        <v>46045</v>
      </c>
      <c r="HR2" s="11">
        <f t="shared" si="5"/>
        <v>46046</v>
      </c>
      <c r="HS2" s="11">
        <f t="shared" si="5"/>
        <v>46047</v>
      </c>
      <c r="HT2" s="11">
        <f t="shared" si="5"/>
        <v>46048</v>
      </c>
      <c r="HU2" s="11">
        <f t="shared" si="5"/>
        <v>46049</v>
      </c>
      <c r="HV2" s="11">
        <f t="shared" si="5"/>
        <v>46050</v>
      </c>
    </row>
    <row r="3" spans="1:242" s="19" customFormat="1" ht="27.75" customHeight="1" thickTop="1" thickBot="1" x14ac:dyDescent="0.25">
      <c r="A3" s="13"/>
      <c r="B3" s="253"/>
      <c r="C3" s="254"/>
      <c r="D3" s="254"/>
      <c r="E3" s="254"/>
      <c r="F3" s="254"/>
      <c r="G3" s="100"/>
      <c r="H3" s="33"/>
      <c r="I3" s="34"/>
      <c r="J3" s="225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55" t="s">
        <v>17</v>
      </c>
      <c r="C4" s="131" t="s">
        <v>12</v>
      </c>
      <c r="D4" s="257" t="s">
        <v>13</v>
      </c>
      <c r="E4" s="257"/>
      <c r="F4" s="257" t="s">
        <v>16</v>
      </c>
      <c r="G4" s="257"/>
      <c r="H4" s="258" t="s">
        <v>18</v>
      </c>
      <c r="I4" s="259"/>
      <c r="J4" s="250" t="s">
        <v>22</v>
      </c>
      <c r="K4" s="251"/>
      <c r="L4" s="20"/>
      <c r="M4" s="241" t="s">
        <v>1</v>
      </c>
      <c r="N4" s="242"/>
      <c r="O4" s="243" t="s">
        <v>6</v>
      </c>
      <c r="P4" s="241" t="s">
        <v>0</v>
      </c>
      <c r="Q4" s="252"/>
      <c r="R4" s="21" t="s">
        <v>7</v>
      </c>
      <c r="S4" s="22">
        <f>S2</f>
        <v>45839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45870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>
        <f t="shared" si="6"/>
        <v>45901</v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45931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>
        <f t="shared" si="8"/>
        <v>45962</v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45992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>
        <f t="shared" si="10"/>
        <v>46023</v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56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44"/>
      <c r="P5" s="25" t="s">
        <v>8</v>
      </c>
      <c r="Q5" s="26" t="s">
        <v>9</v>
      </c>
      <c r="R5" s="27"/>
      <c r="S5" s="28">
        <f t="shared" ref="S5:AH6" si="12">IF($AH$1-S$2&gt;=0,S$2,"")</f>
        <v>45839</v>
      </c>
      <c r="T5" s="29">
        <f t="shared" si="12"/>
        <v>45840</v>
      </c>
      <c r="U5" s="29">
        <f t="shared" si="12"/>
        <v>45841</v>
      </c>
      <c r="V5" s="29">
        <f t="shared" si="12"/>
        <v>45842</v>
      </c>
      <c r="W5" s="29">
        <f t="shared" si="12"/>
        <v>45843</v>
      </c>
      <c r="X5" s="29">
        <f t="shared" si="12"/>
        <v>45844</v>
      </c>
      <c r="Y5" s="29">
        <f t="shared" si="12"/>
        <v>45845</v>
      </c>
      <c r="Z5" s="29">
        <f t="shared" si="12"/>
        <v>45846</v>
      </c>
      <c r="AA5" s="29">
        <f t="shared" si="12"/>
        <v>45847</v>
      </c>
      <c r="AB5" s="29">
        <f t="shared" si="12"/>
        <v>45848</v>
      </c>
      <c r="AC5" s="29">
        <f t="shared" si="12"/>
        <v>45849</v>
      </c>
      <c r="AD5" s="29">
        <f t="shared" si="12"/>
        <v>45850</v>
      </c>
      <c r="AE5" s="29">
        <f t="shared" si="12"/>
        <v>45851</v>
      </c>
      <c r="AF5" s="29">
        <f t="shared" si="12"/>
        <v>45852</v>
      </c>
      <c r="AG5" s="29">
        <f t="shared" si="12"/>
        <v>45853</v>
      </c>
      <c r="AH5" s="29">
        <f t="shared" si="12"/>
        <v>45854</v>
      </c>
      <c r="AI5" s="29">
        <f t="shared" ref="AI5:CT6" si="13">IF($AH$1-AI$2&gt;=0,AI$2,"")</f>
        <v>45855</v>
      </c>
      <c r="AJ5" s="29">
        <f t="shared" si="13"/>
        <v>45856</v>
      </c>
      <c r="AK5" s="30">
        <f t="shared" si="13"/>
        <v>45857</v>
      </c>
      <c r="AL5" s="175">
        <f t="shared" si="13"/>
        <v>45858</v>
      </c>
      <c r="AM5" s="29">
        <f t="shared" si="13"/>
        <v>45859</v>
      </c>
      <c r="AN5" s="29">
        <f t="shared" si="13"/>
        <v>45860</v>
      </c>
      <c r="AO5" s="29">
        <f t="shared" si="13"/>
        <v>45861</v>
      </c>
      <c r="AP5" s="29">
        <f t="shared" si="13"/>
        <v>45862</v>
      </c>
      <c r="AQ5" s="29">
        <f t="shared" si="13"/>
        <v>45863</v>
      </c>
      <c r="AR5" s="29">
        <f t="shared" si="13"/>
        <v>45864</v>
      </c>
      <c r="AS5" s="29">
        <f t="shared" si="13"/>
        <v>45865</v>
      </c>
      <c r="AT5" s="29">
        <f t="shared" si="13"/>
        <v>45866</v>
      </c>
      <c r="AU5" s="29">
        <f t="shared" si="13"/>
        <v>45867</v>
      </c>
      <c r="AV5" s="29">
        <f t="shared" si="13"/>
        <v>45868</v>
      </c>
      <c r="AW5" s="30">
        <f t="shared" si="13"/>
        <v>45869</v>
      </c>
      <c r="AX5" s="31">
        <f t="shared" si="13"/>
        <v>45870</v>
      </c>
      <c r="AY5" s="29">
        <f t="shared" si="13"/>
        <v>45871</v>
      </c>
      <c r="AZ5" s="29">
        <f t="shared" si="13"/>
        <v>45872</v>
      </c>
      <c r="BA5" s="29">
        <f t="shared" si="13"/>
        <v>45873</v>
      </c>
      <c r="BB5" s="29">
        <f t="shared" si="13"/>
        <v>45874</v>
      </c>
      <c r="BC5" s="29">
        <f t="shared" si="13"/>
        <v>45875</v>
      </c>
      <c r="BD5" s="29">
        <f t="shared" si="13"/>
        <v>45876</v>
      </c>
      <c r="BE5" s="29">
        <f t="shared" si="13"/>
        <v>45877</v>
      </c>
      <c r="BF5" s="29">
        <f t="shared" si="13"/>
        <v>45878</v>
      </c>
      <c r="BG5" s="29">
        <f t="shared" si="13"/>
        <v>45879</v>
      </c>
      <c r="BH5" s="29">
        <f t="shared" si="13"/>
        <v>45880</v>
      </c>
      <c r="BI5" s="29">
        <f t="shared" si="13"/>
        <v>45881</v>
      </c>
      <c r="BJ5" s="29">
        <f t="shared" si="13"/>
        <v>45882</v>
      </c>
      <c r="BK5" s="29">
        <f t="shared" si="13"/>
        <v>45883</v>
      </c>
      <c r="BL5" s="29">
        <f t="shared" si="13"/>
        <v>45884</v>
      </c>
      <c r="BM5" s="184">
        <f t="shared" si="13"/>
        <v>45885</v>
      </c>
      <c r="BN5" s="29">
        <f t="shared" si="13"/>
        <v>45886</v>
      </c>
      <c r="BO5" s="30">
        <f t="shared" si="13"/>
        <v>45887</v>
      </c>
      <c r="BP5" s="175">
        <f t="shared" si="13"/>
        <v>45888</v>
      </c>
      <c r="BQ5" s="29">
        <f t="shared" si="13"/>
        <v>45889</v>
      </c>
      <c r="BR5" s="29">
        <f t="shared" si="13"/>
        <v>45890</v>
      </c>
      <c r="BS5" s="29">
        <f t="shared" si="13"/>
        <v>45891</v>
      </c>
      <c r="BT5" s="184">
        <f t="shared" si="13"/>
        <v>45892</v>
      </c>
      <c r="BU5" s="29">
        <f t="shared" si="13"/>
        <v>45893</v>
      </c>
      <c r="BV5" s="29">
        <f t="shared" si="13"/>
        <v>45894</v>
      </c>
      <c r="BW5" s="29">
        <f t="shared" si="13"/>
        <v>45895</v>
      </c>
      <c r="BX5" s="29">
        <f t="shared" si="13"/>
        <v>45896</v>
      </c>
      <c r="BY5" s="29">
        <f t="shared" si="13"/>
        <v>45897</v>
      </c>
      <c r="BZ5" s="29">
        <f t="shared" si="13"/>
        <v>45898</v>
      </c>
      <c r="CA5" s="30">
        <f t="shared" si="13"/>
        <v>45899</v>
      </c>
      <c r="CB5" s="31">
        <f t="shared" si="13"/>
        <v>45900</v>
      </c>
      <c r="CC5" s="29">
        <f t="shared" si="13"/>
        <v>45901</v>
      </c>
      <c r="CD5" s="29">
        <f t="shared" si="13"/>
        <v>45902</v>
      </c>
      <c r="CE5" s="29">
        <f t="shared" si="13"/>
        <v>45903</v>
      </c>
      <c r="CF5" s="29">
        <f t="shared" si="13"/>
        <v>45904</v>
      </c>
      <c r="CG5" s="29">
        <f t="shared" si="13"/>
        <v>45905</v>
      </c>
      <c r="CH5" s="29">
        <f t="shared" si="13"/>
        <v>45906</v>
      </c>
      <c r="CI5" s="29">
        <f t="shared" si="13"/>
        <v>45907</v>
      </c>
      <c r="CJ5" s="29">
        <f t="shared" si="13"/>
        <v>45908</v>
      </c>
      <c r="CK5" s="29">
        <f t="shared" si="13"/>
        <v>45909</v>
      </c>
      <c r="CL5" s="29">
        <f t="shared" si="13"/>
        <v>45910</v>
      </c>
      <c r="CM5" s="29">
        <f t="shared" si="13"/>
        <v>45911</v>
      </c>
      <c r="CN5" s="29">
        <f t="shared" si="13"/>
        <v>45912</v>
      </c>
      <c r="CO5" s="184">
        <f t="shared" si="13"/>
        <v>45913</v>
      </c>
      <c r="CP5" s="29">
        <f t="shared" si="13"/>
        <v>45914</v>
      </c>
      <c r="CQ5" s="29">
        <f t="shared" si="13"/>
        <v>45915</v>
      </c>
      <c r="CR5" s="29">
        <f t="shared" si="13"/>
        <v>45916</v>
      </c>
      <c r="CS5" s="29">
        <f t="shared" si="13"/>
        <v>45917</v>
      </c>
      <c r="CT5" s="30">
        <f t="shared" si="13"/>
        <v>45918</v>
      </c>
      <c r="CU5" s="175">
        <f t="shared" ref="CU5:EK6" si="14">IF($AH$1-CU$2&gt;=0,CU$2,"")</f>
        <v>45919</v>
      </c>
      <c r="CV5" s="29">
        <f t="shared" si="14"/>
        <v>45920</v>
      </c>
      <c r="CW5" s="29">
        <f t="shared" si="14"/>
        <v>45921</v>
      </c>
      <c r="CX5" s="29">
        <f t="shared" si="14"/>
        <v>45922</v>
      </c>
      <c r="CY5" s="29">
        <f t="shared" si="14"/>
        <v>45923</v>
      </c>
      <c r="CZ5" s="29">
        <f t="shared" si="14"/>
        <v>45924</v>
      </c>
      <c r="DA5" s="29">
        <f t="shared" si="14"/>
        <v>45925</v>
      </c>
      <c r="DB5" s="29">
        <f t="shared" si="14"/>
        <v>45926</v>
      </c>
      <c r="DC5" s="29">
        <f t="shared" si="14"/>
        <v>45927</v>
      </c>
      <c r="DD5" s="29">
        <f t="shared" si="14"/>
        <v>45928</v>
      </c>
      <c r="DE5" s="29">
        <f t="shared" si="14"/>
        <v>45929</v>
      </c>
      <c r="DF5" s="30">
        <f t="shared" si="14"/>
        <v>45930</v>
      </c>
      <c r="DG5" s="31">
        <f t="shared" si="14"/>
        <v>45931</v>
      </c>
      <c r="DH5" s="29">
        <f t="shared" si="14"/>
        <v>45932</v>
      </c>
      <c r="DI5" s="29">
        <f t="shared" si="14"/>
        <v>45933</v>
      </c>
      <c r="DJ5" s="184">
        <f t="shared" si="14"/>
        <v>45934</v>
      </c>
      <c r="DK5" s="29">
        <f t="shared" si="14"/>
        <v>45935</v>
      </c>
      <c r="DL5" s="29">
        <f t="shared" si="14"/>
        <v>45936</v>
      </c>
      <c r="DM5" s="29">
        <f t="shared" si="14"/>
        <v>45937</v>
      </c>
      <c r="DN5" s="29">
        <f t="shared" si="14"/>
        <v>45938</v>
      </c>
      <c r="DO5" s="29">
        <f t="shared" si="14"/>
        <v>45939</v>
      </c>
      <c r="DP5" s="29">
        <f t="shared" si="14"/>
        <v>45940</v>
      </c>
      <c r="DQ5" s="29">
        <f t="shared" si="14"/>
        <v>45941</v>
      </c>
      <c r="DR5" s="29">
        <f t="shared" si="14"/>
        <v>45942</v>
      </c>
      <c r="DS5" s="29">
        <f t="shared" si="14"/>
        <v>45943</v>
      </c>
      <c r="DT5" s="29">
        <f t="shared" si="14"/>
        <v>45944</v>
      </c>
      <c r="DU5" s="29">
        <f t="shared" si="14"/>
        <v>45945</v>
      </c>
      <c r="DV5" s="29">
        <f t="shared" si="14"/>
        <v>45946</v>
      </c>
      <c r="DW5" s="29">
        <f t="shared" si="14"/>
        <v>45947</v>
      </c>
      <c r="DX5" s="29">
        <f t="shared" si="14"/>
        <v>45948</v>
      </c>
      <c r="DY5" s="30">
        <f t="shared" si="14"/>
        <v>45949</v>
      </c>
      <c r="DZ5" s="175">
        <f t="shared" si="14"/>
        <v>45950</v>
      </c>
      <c r="EA5" s="29">
        <f t="shared" si="14"/>
        <v>45951</v>
      </c>
      <c r="EB5" s="29">
        <f t="shared" si="14"/>
        <v>45952</v>
      </c>
      <c r="EC5" s="29">
        <f t="shared" si="14"/>
        <v>45953</v>
      </c>
      <c r="ED5" s="29">
        <f t="shared" si="14"/>
        <v>45954</v>
      </c>
      <c r="EE5" s="29">
        <f t="shared" si="14"/>
        <v>45955</v>
      </c>
      <c r="EF5" s="29">
        <f t="shared" si="14"/>
        <v>45956</v>
      </c>
      <c r="EG5" s="29">
        <f t="shared" si="14"/>
        <v>45957</v>
      </c>
      <c r="EH5" s="29">
        <f t="shared" si="14"/>
        <v>45958</v>
      </c>
      <c r="EI5" s="29">
        <f t="shared" si="14"/>
        <v>45959</v>
      </c>
      <c r="EJ5" s="30">
        <f t="shared" si="14"/>
        <v>45960</v>
      </c>
      <c r="EK5" s="31">
        <f t="shared" si="14"/>
        <v>45961</v>
      </c>
      <c r="EL5" s="29">
        <f t="shared" ref="EL5:FP6" si="15">IF($AH$1-EL$2&gt;=0,EL$2,"")</f>
        <v>45962</v>
      </c>
      <c r="EM5" s="29">
        <f t="shared" si="15"/>
        <v>45963</v>
      </c>
      <c r="EN5" s="29">
        <f t="shared" si="15"/>
        <v>45964</v>
      </c>
      <c r="EO5" s="29">
        <f t="shared" si="15"/>
        <v>45965</v>
      </c>
      <c r="EP5" s="29">
        <f t="shared" si="15"/>
        <v>45966</v>
      </c>
      <c r="EQ5" s="29">
        <f t="shared" si="15"/>
        <v>45967</v>
      </c>
      <c r="ER5" s="29">
        <f t="shared" si="15"/>
        <v>45968</v>
      </c>
      <c r="ES5" s="29">
        <f t="shared" si="15"/>
        <v>45969</v>
      </c>
      <c r="ET5" s="29">
        <f t="shared" si="15"/>
        <v>45970</v>
      </c>
      <c r="EU5" s="29">
        <f t="shared" si="15"/>
        <v>45971</v>
      </c>
      <c r="EV5" s="29">
        <f t="shared" si="15"/>
        <v>45972</v>
      </c>
      <c r="EW5" s="29">
        <f t="shared" si="15"/>
        <v>45973</v>
      </c>
      <c r="EX5" s="29">
        <f t="shared" si="15"/>
        <v>45974</v>
      </c>
      <c r="EY5" s="29">
        <f t="shared" si="15"/>
        <v>45975</v>
      </c>
      <c r="EZ5" s="29">
        <f t="shared" si="15"/>
        <v>45976</v>
      </c>
      <c r="FA5" s="29">
        <f t="shared" si="15"/>
        <v>45977</v>
      </c>
      <c r="FB5" s="29">
        <f t="shared" si="15"/>
        <v>45978</v>
      </c>
      <c r="FC5" s="30">
        <f t="shared" si="15"/>
        <v>45979</v>
      </c>
      <c r="FD5" s="175">
        <f t="shared" si="15"/>
        <v>45980</v>
      </c>
      <c r="FE5" s="29">
        <f t="shared" si="15"/>
        <v>45981</v>
      </c>
      <c r="FF5" s="29">
        <f t="shared" si="15"/>
        <v>45982</v>
      </c>
      <c r="FG5" s="184">
        <f t="shared" si="15"/>
        <v>45983</v>
      </c>
      <c r="FH5" s="29">
        <f t="shared" si="15"/>
        <v>45984</v>
      </c>
      <c r="FI5" s="29">
        <f t="shared" si="15"/>
        <v>45985</v>
      </c>
      <c r="FJ5" s="29">
        <f t="shared" si="15"/>
        <v>45986</v>
      </c>
      <c r="FK5" s="29">
        <f t="shared" si="15"/>
        <v>45987</v>
      </c>
      <c r="FL5" s="29">
        <f t="shared" si="15"/>
        <v>45988</v>
      </c>
      <c r="FM5" s="29">
        <f t="shared" si="15"/>
        <v>45989</v>
      </c>
      <c r="FN5" s="184">
        <f t="shared" si="15"/>
        <v>45990</v>
      </c>
      <c r="FO5" s="190">
        <f>IF($AH$1-FO$2&gt;=0,FO$2,"")</f>
        <v>45991</v>
      </c>
      <c r="FP5" s="191">
        <f t="shared" si="15"/>
        <v>45992</v>
      </c>
      <c r="FQ5" s="184">
        <f t="shared" ref="FQ5:GT6" si="16">IF($AH$1-FQ$2&gt;=0,FQ$2,"")</f>
        <v>45993</v>
      </c>
      <c r="FR5" s="184">
        <f t="shared" si="16"/>
        <v>45994</v>
      </c>
      <c r="FS5" s="29">
        <f t="shared" si="16"/>
        <v>45995</v>
      </c>
      <c r="FT5" s="29">
        <f t="shared" si="16"/>
        <v>45996</v>
      </c>
      <c r="FU5" s="29">
        <f t="shared" si="16"/>
        <v>45997</v>
      </c>
      <c r="FV5" s="29">
        <f t="shared" si="16"/>
        <v>45998</v>
      </c>
      <c r="FW5" s="29">
        <f t="shared" si="16"/>
        <v>45999</v>
      </c>
      <c r="FX5" s="29">
        <f t="shared" si="16"/>
        <v>46000</v>
      </c>
      <c r="FY5" s="29">
        <f t="shared" si="16"/>
        <v>46001</v>
      </c>
      <c r="FZ5" s="29">
        <f t="shared" si="16"/>
        <v>46002</v>
      </c>
      <c r="GA5" s="29">
        <f t="shared" si="16"/>
        <v>46003</v>
      </c>
      <c r="GB5" s="184">
        <f t="shared" si="16"/>
        <v>46004</v>
      </c>
      <c r="GC5" s="29">
        <f t="shared" si="16"/>
        <v>46005</v>
      </c>
      <c r="GD5" s="29">
        <f t="shared" si="16"/>
        <v>46006</v>
      </c>
      <c r="GE5" s="29">
        <f t="shared" si="16"/>
        <v>46007</v>
      </c>
      <c r="GF5" s="29">
        <f t="shared" si="16"/>
        <v>46008</v>
      </c>
      <c r="GG5" s="30">
        <f t="shared" si="16"/>
        <v>46009</v>
      </c>
      <c r="GH5" s="175">
        <f t="shared" si="16"/>
        <v>46010</v>
      </c>
      <c r="GI5" s="29">
        <f t="shared" si="16"/>
        <v>46011</v>
      </c>
      <c r="GJ5" s="29">
        <f t="shared" si="16"/>
        <v>46012</v>
      </c>
      <c r="GK5" s="29">
        <f t="shared" si="16"/>
        <v>46013</v>
      </c>
      <c r="GL5" s="29">
        <f t="shared" si="16"/>
        <v>46014</v>
      </c>
      <c r="GM5" s="29">
        <f t="shared" si="16"/>
        <v>46015</v>
      </c>
      <c r="GN5" s="29">
        <f t="shared" si="16"/>
        <v>46016</v>
      </c>
      <c r="GO5" s="29">
        <f t="shared" si="16"/>
        <v>46017</v>
      </c>
      <c r="GP5" s="29">
        <f t="shared" si="16"/>
        <v>46018</v>
      </c>
      <c r="GQ5" s="29">
        <f t="shared" si="16"/>
        <v>46019</v>
      </c>
      <c r="GR5" s="29">
        <f t="shared" si="16"/>
        <v>46020</v>
      </c>
      <c r="GS5" s="29">
        <f t="shared" ref="GS5:HV6" si="17">IF($AH$1-GS$2&gt;=0,GS$2,"")</f>
        <v>46021</v>
      </c>
      <c r="GT5" s="30">
        <f t="shared" si="16"/>
        <v>46022</v>
      </c>
      <c r="GU5" s="203">
        <f t="shared" ref="GU5:HV5" si="18">IF($AH$1-GU$2&gt;=0,GU$2,"")</f>
        <v>46023</v>
      </c>
      <c r="GV5" s="29">
        <f t="shared" si="18"/>
        <v>46024</v>
      </c>
      <c r="GW5" s="29">
        <f t="shared" si="18"/>
        <v>46025</v>
      </c>
      <c r="GX5" s="29">
        <f t="shared" si="18"/>
        <v>46026</v>
      </c>
      <c r="GY5" s="29">
        <f t="shared" si="18"/>
        <v>46027</v>
      </c>
      <c r="GZ5" s="29">
        <f t="shared" si="18"/>
        <v>46028</v>
      </c>
      <c r="HA5" s="29">
        <f t="shared" si="18"/>
        <v>46029</v>
      </c>
      <c r="HB5" s="29">
        <f t="shared" si="18"/>
        <v>46030</v>
      </c>
      <c r="HC5" s="29">
        <f t="shared" si="18"/>
        <v>46031</v>
      </c>
      <c r="HD5" s="29">
        <f t="shared" si="18"/>
        <v>46032</v>
      </c>
      <c r="HE5" s="29">
        <f t="shared" si="18"/>
        <v>46033</v>
      </c>
      <c r="HF5" s="29">
        <f t="shared" si="18"/>
        <v>46034</v>
      </c>
      <c r="HG5" s="29">
        <f t="shared" si="18"/>
        <v>46035</v>
      </c>
      <c r="HH5" s="29">
        <f t="shared" si="18"/>
        <v>46036</v>
      </c>
      <c r="HI5" s="29">
        <f t="shared" si="18"/>
        <v>46037</v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45839</v>
      </c>
      <c r="T6" s="104">
        <f t="shared" si="12"/>
        <v>45840</v>
      </c>
      <c r="U6" s="104">
        <f t="shared" si="12"/>
        <v>45841</v>
      </c>
      <c r="V6" s="104">
        <f t="shared" si="12"/>
        <v>45842</v>
      </c>
      <c r="W6" s="104">
        <f t="shared" si="12"/>
        <v>45843</v>
      </c>
      <c r="X6" s="104">
        <f t="shared" si="12"/>
        <v>45844</v>
      </c>
      <c r="Y6" s="104">
        <f t="shared" si="12"/>
        <v>45845</v>
      </c>
      <c r="Z6" s="104">
        <f t="shared" si="12"/>
        <v>45846</v>
      </c>
      <c r="AA6" s="104">
        <f t="shared" si="12"/>
        <v>45847</v>
      </c>
      <c r="AB6" s="104">
        <f t="shared" si="12"/>
        <v>45848</v>
      </c>
      <c r="AC6" s="104">
        <f t="shared" si="12"/>
        <v>45849</v>
      </c>
      <c r="AD6" s="104">
        <f t="shared" si="12"/>
        <v>45850</v>
      </c>
      <c r="AE6" s="104">
        <f t="shared" si="12"/>
        <v>45851</v>
      </c>
      <c r="AF6" s="104">
        <f t="shared" si="12"/>
        <v>45852</v>
      </c>
      <c r="AG6" s="104">
        <f t="shared" si="12"/>
        <v>45853</v>
      </c>
      <c r="AH6" s="104">
        <f t="shared" si="12"/>
        <v>45854</v>
      </c>
      <c r="AI6" s="104">
        <f t="shared" si="13"/>
        <v>45855</v>
      </c>
      <c r="AJ6" s="104">
        <f t="shared" si="13"/>
        <v>45856</v>
      </c>
      <c r="AK6" s="105">
        <f t="shared" si="13"/>
        <v>45857</v>
      </c>
      <c r="AL6" s="176">
        <f t="shared" si="13"/>
        <v>45858</v>
      </c>
      <c r="AM6" s="104">
        <f t="shared" si="13"/>
        <v>45859</v>
      </c>
      <c r="AN6" s="104">
        <f t="shared" si="13"/>
        <v>45860</v>
      </c>
      <c r="AO6" s="104">
        <f t="shared" si="13"/>
        <v>45861</v>
      </c>
      <c r="AP6" s="104">
        <f t="shared" si="13"/>
        <v>45862</v>
      </c>
      <c r="AQ6" s="104">
        <f t="shared" si="13"/>
        <v>45863</v>
      </c>
      <c r="AR6" s="104">
        <f t="shared" si="13"/>
        <v>45864</v>
      </c>
      <c r="AS6" s="104">
        <f t="shared" si="13"/>
        <v>45865</v>
      </c>
      <c r="AT6" s="104">
        <f t="shared" si="13"/>
        <v>45866</v>
      </c>
      <c r="AU6" s="104">
        <f t="shared" si="13"/>
        <v>45867</v>
      </c>
      <c r="AV6" s="104">
        <f t="shared" si="13"/>
        <v>45868</v>
      </c>
      <c r="AW6" s="105">
        <f t="shared" si="13"/>
        <v>45869</v>
      </c>
      <c r="AX6" s="106">
        <f t="shared" si="13"/>
        <v>45870</v>
      </c>
      <c r="AY6" s="104">
        <f t="shared" si="13"/>
        <v>45871</v>
      </c>
      <c r="AZ6" s="104">
        <f t="shared" si="13"/>
        <v>45872</v>
      </c>
      <c r="BA6" s="104">
        <f t="shared" si="13"/>
        <v>45873</v>
      </c>
      <c r="BB6" s="104">
        <f t="shared" si="13"/>
        <v>45874</v>
      </c>
      <c r="BC6" s="104">
        <f t="shared" si="13"/>
        <v>45875</v>
      </c>
      <c r="BD6" s="104">
        <f t="shared" si="13"/>
        <v>45876</v>
      </c>
      <c r="BE6" s="104">
        <f t="shared" si="13"/>
        <v>45877</v>
      </c>
      <c r="BF6" s="104">
        <f t="shared" si="13"/>
        <v>45878</v>
      </c>
      <c r="BG6" s="104">
        <f t="shared" si="13"/>
        <v>45879</v>
      </c>
      <c r="BH6" s="104">
        <f t="shared" si="13"/>
        <v>45880</v>
      </c>
      <c r="BI6" s="104">
        <f t="shared" si="13"/>
        <v>45881</v>
      </c>
      <c r="BJ6" s="104">
        <f t="shared" si="13"/>
        <v>45882</v>
      </c>
      <c r="BK6" s="104">
        <f t="shared" si="13"/>
        <v>45883</v>
      </c>
      <c r="BL6" s="104">
        <f t="shared" si="13"/>
        <v>45884</v>
      </c>
      <c r="BM6" s="185">
        <f t="shared" si="13"/>
        <v>45885</v>
      </c>
      <c r="BN6" s="104">
        <f t="shared" si="13"/>
        <v>45886</v>
      </c>
      <c r="BO6" s="105">
        <f t="shared" si="13"/>
        <v>45887</v>
      </c>
      <c r="BP6" s="176">
        <f t="shared" si="13"/>
        <v>45888</v>
      </c>
      <c r="BQ6" s="104">
        <f t="shared" si="13"/>
        <v>45889</v>
      </c>
      <c r="BR6" s="104">
        <f t="shared" si="13"/>
        <v>45890</v>
      </c>
      <c r="BS6" s="104">
        <f t="shared" si="13"/>
        <v>45891</v>
      </c>
      <c r="BT6" s="185">
        <f t="shared" si="13"/>
        <v>45892</v>
      </c>
      <c r="BU6" s="104">
        <f t="shared" si="13"/>
        <v>45893</v>
      </c>
      <c r="BV6" s="104">
        <f t="shared" si="13"/>
        <v>45894</v>
      </c>
      <c r="BW6" s="104">
        <f t="shared" si="13"/>
        <v>45895</v>
      </c>
      <c r="BX6" s="104">
        <f t="shared" si="13"/>
        <v>45896</v>
      </c>
      <c r="BY6" s="104">
        <f t="shared" si="13"/>
        <v>45897</v>
      </c>
      <c r="BZ6" s="104">
        <f t="shared" si="13"/>
        <v>45898</v>
      </c>
      <c r="CA6" s="105">
        <f t="shared" si="13"/>
        <v>45899</v>
      </c>
      <c r="CB6" s="106">
        <f t="shared" si="13"/>
        <v>45900</v>
      </c>
      <c r="CC6" s="104">
        <f t="shared" si="13"/>
        <v>45901</v>
      </c>
      <c r="CD6" s="104">
        <f t="shared" si="13"/>
        <v>45902</v>
      </c>
      <c r="CE6" s="104">
        <f t="shared" si="13"/>
        <v>45903</v>
      </c>
      <c r="CF6" s="104">
        <f t="shared" si="13"/>
        <v>45904</v>
      </c>
      <c r="CG6" s="104">
        <f t="shared" si="13"/>
        <v>45905</v>
      </c>
      <c r="CH6" s="104">
        <f t="shared" si="13"/>
        <v>45906</v>
      </c>
      <c r="CI6" s="104">
        <f t="shared" si="13"/>
        <v>45907</v>
      </c>
      <c r="CJ6" s="104">
        <f t="shared" si="13"/>
        <v>45908</v>
      </c>
      <c r="CK6" s="104">
        <f t="shared" si="13"/>
        <v>45909</v>
      </c>
      <c r="CL6" s="104">
        <f t="shared" si="13"/>
        <v>45910</v>
      </c>
      <c r="CM6" s="104">
        <f t="shared" si="13"/>
        <v>45911</v>
      </c>
      <c r="CN6" s="104">
        <f t="shared" si="13"/>
        <v>45912</v>
      </c>
      <c r="CO6" s="185">
        <f t="shared" si="13"/>
        <v>45913</v>
      </c>
      <c r="CP6" s="104">
        <f t="shared" si="13"/>
        <v>45914</v>
      </c>
      <c r="CQ6" s="104">
        <f t="shared" si="13"/>
        <v>45915</v>
      </c>
      <c r="CR6" s="104">
        <f t="shared" si="13"/>
        <v>45916</v>
      </c>
      <c r="CS6" s="104">
        <f t="shared" si="13"/>
        <v>45917</v>
      </c>
      <c r="CT6" s="105">
        <f t="shared" si="13"/>
        <v>45918</v>
      </c>
      <c r="CU6" s="176">
        <f t="shared" si="14"/>
        <v>45919</v>
      </c>
      <c r="CV6" s="104">
        <f t="shared" si="14"/>
        <v>45920</v>
      </c>
      <c r="CW6" s="104">
        <f t="shared" si="14"/>
        <v>45921</v>
      </c>
      <c r="CX6" s="104">
        <f t="shared" si="14"/>
        <v>45922</v>
      </c>
      <c r="CY6" s="104">
        <f t="shared" si="14"/>
        <v>45923</v>
      </c>
      <c r="CZ6" s="104">
        <f t="shared" si="14"/>
        <v>45924</v>
      </c>
      <c r="DA6" s="104">
        <f t="shared" si="14"/>
        <v>45925</v>
      </c>
      <c r="DB6" s="104">
        <f t="shared" si="14"/>
        <v>45926</v>
      </c>
      <c r="DC6" s="104">
        <f t="shared" si="14"/>
        <v>45927</v>
      </c>
      <c r="DD6" s="104">
        <f t="shared" si="14"/>
        <v>45928</v>
      </c>
      <c r="DE6" s="104">
        <f t="shared" si="14"/>
        <v>45929</v>
      </c>
      <c r="DF6" s="105">
        <f t="shared" si="14"/>
        <v>45930</v>
      </c>
      <c r="DG6" s="106">
        <f t="shared" si="14"/>
        <v>45931</v>
      </c>
      <c r="DH6" s="104">
        <f t="shared" si="14"/>
        <v>45932</v>
      </c>
      <c r="DI6" s="104">
        <f t="shared" si="14"/>
        <v>45933</v>
      </c>
      <c r="DJ6" s="185">
        <f t="shared" si="14"/>
        <v>45934</v>
      </c>
      <c r="DK6" s="104">
        <f t="shared" si="14"/>
        <v>45935</v>
      </c>
      <c r="DL6" s="104">
        <f t="shared" si="14"/>
        <v>45936</v>
      </c>
      <c r="DM6" s="104">
        <f t="shared" si="14"/>
        <v>45937</v>
      </c>
      <c r="DN6" s="104">
        <f t="shared" si="14"/>
        <v>45938</v>
      </c>
      <c r="DO6" s="104">
        <f t="shared" si="14"/>
        <v>45939</v>
      </c>
      <c r="DP6" s="104">
        <f t="shared" si="14"/>
        <v>45940</v>
      </c>
      <c r="DQ6" s="104">
        <f t="shared" si="14"/>
        <v>45941</v>
      </c>
      <c r="DR6" s="104">
        <f t="shared" si="14"/>
        <v>45942</v>
      </c>
      <c r="DS6" s="104">
        <f t="shared" si="14"/>
        <v>45943</v>
      </c>
      <c r="DT6" s="104">
        <f t="shared" si="14"/>
        <v>45944</v>
      </c>
      <c r="DU6" s="104">
        <f t="shared" si="14"/>
        <v>45945</v>
      </c>
      <c r="DV6" s="104">
        <f t="shared" si="14"/>
        <v>45946</v>
      </c>
      <c r="DW6" s="104">
        <f t="shared" si="14"/>
        <v>45947</v>
      </c>
      <c r="DX6" s="104">
        <f t="shared" si="14"/>
        <v>45948</v>
      </c>
      <c r="DY6" s="105">
        <f t="shared" si="14"/>
        <v>45949</v>
      </c>
      <c r="DZ6" s="176">
        <f t="shared" si="14"/>
        <v>45950</v>
      </c>
      <c r="EA6" s="104">
        <f t="shared" si="14"/>
        <v>45951</v>
      </c>
      <c r="EB6" s="104">
        <f t="shared" si="14"/>
        <v>45952</v>
      </c>
      <c r="EC6" s="104">
        <f t="shared" si="14"/>
        <v>45953</v>
      </c>
      <c r="ED6" s="104">
        <f t="shared" si="14"/>
        <v>45954</v>
      </c>
      <c r="EE6" s="104">
        <f t="shared" si="14"/>
        <v>45955</v>
      </c>
      <c r="EF6" s="104">
        <f t="shared" si="14"/>
        <v>45956</v>
      </c>
      <c r="EG6" s="104">
        <f t="shared" si="14"/>
        <v>45957</v>
      </c>
      <c r="EH6" s="104">
        <f t="shared" si="14"/>
        <v>45958</v>
      </c>
      <c r="EI6" s="104">
        <f t="shared" si="14"/>
        <v>45959</v>
      </c>
      <c r="EJ6" s="105">
        <f t="shared" si="14"/>
        <v>45960</v>
      </c>
      <c r="EK6" s="106">
        <f t="shared" ref="EK6:FO6" si="19">IF($AH$1-EK$2&gt;=0,EK$2,"")</f>
        <v>45961</v>
      </c>
      <c r="EL6" s="104">
        <f t="shared" si="19"/>
        <v>45962</v>
      </c>
      <c r="EM6" s="104">
        <f t="shared" si="19"/>
        <v>45963</v>
      </c>
      <c r="EN6" s="104">
        <f t="shared" si="19"/>
        <v>45964</v>
      </c>
      <c r="EO6" s="104">
        <f t="shared" si="19"/>
        <v>45965</v>
      </c>
      <c r="EP6" s="104">
        <f t="shared" si="19"/>
        <v>45966</v>
      </c>
      <c r="EQ6" s="104">
        <f t="shared" si="19"/>
        <v>45967</v>
      </c>
      <c r="ER6" s="104">
        <f t="shared" si="19"/>
        <v>45968</v>
      </c>
      <c r="ES6" s="104">
        <f t="shared" si="19"/>
        <v>45969</v>
      </c>
      <c r="ET6" s="104">
        <f t="shared" si="19"/>
        <v>45970</v>
      </c>
      <c r="EU6" s="104">
        <f t="shared" si="19"/>
        <v>45971</v>
      </c>
      <c r="EV6" s="104">
        <f t="shared" si="19"/>
        <v>45972</v>
      </c>
      <c r="EW6" s="104">
        <f t="shared" si="19"/>
        <v>45973</v>
      </c>
      <c r="EX6" s="104">
        <f t="shared" si="19"/>
        <v>45974</v>
      </c>
      <c r="EY6" s="104">
        <f t="shared" si="19"/>
        <v>45975</v>
      </c>
      <c r="EZ6" s="104">
        <f t="shared" si="19"/>
        <v>45976</v>
      </c>
      <c r="FA6" s="104">
        <f t="shared" si="19"/>
        <v>45977</v>
      </c>
      <c r="FB6" s="104">
        <f t="shared" si="19"/>
        <v>45978</v>
      </c>
      <c r="FC6" s="105">
        <f t="shared" si="19"/>
        <v>45979</v>
      </c>
      <c r="FD6" s="176">
        <f t="shared" si="19"/>
        <v>45980</v>
      </c>
      <c r="FE6" s="104">
        <f t="shared" si="19"/>
        <v>45981</v>
      </c>
      <c r="FF6" s="104">
        <f t="shared" si="19"/>
        <v>45982</v>
      </c>
      <c r="FG6" s="185">
        <f t="shared" si="19"/>
        <v>45983</v>
      </c>
      <c r="FH6" s="104">
        <f t="shared" si="19"/>
        <v>45984</v>
      </c>
      <c r="FI6" s="104">
        <f t="shared" si="19"/>
        <v>45985</v>
      </c>
      <c r="FJ6" s="104">
        <f t="shared" si="19"/>
        <v>45986</v>
      </c>
      <c r="FK6" s="104">
        <f t="shared" si="19"/>
        <v>45987</v>
      </c>
      <c r="FL6" s="104">
        <f t="shared" si="19"/>
        <v>45988</v>
      </c>
      <c r="FM6" s="104">
        <f t="shared" si="19"/>
        <v>45989</v>
      </c>
      <c r="FN6" s="185">
        <f t="shared" si="19"/>
        <v>45990</v>
      </c>
      <c r="FO6" s="192">
        <f t="shared" si="19"/>
        <v>45991</v>
      </c>
      <c r="FP6" s="193">
        <f t="shared" si="15"/>
        <v>45992</v>
      </c>
      <c r="FQ6" s="185">
        <f t="shared" si="16"/>
        <v>45993</v>
      </c>
      <c r="FR6" s="185">
        <f t="shared" si="16"/>
        <v>45994</v>
      </c>
      <c r="FS6" s="104">
        <f t="shared" si="16"/>
        <v>45995</v>
      </c>
      <c r="FT6" s="104">
        <f t="shared" si="16"/>
        <v>45996</v>
      </c>
      <c r="FU6" s="104">
        <f t="shared" si="16"/>
        <v>45997</v>
      </c>
      <c r="FV6" s="104">
        <f t="shared" si="16"/>
        <v>45998</v>
      </c>
      <c r="FW6" s="104">
        <f t="shared" si="16"/>
        <v>45999</v>
      </c>
      <c r="FX6" s="104">
        <f t="shared" si="16"/>
        <v>46000</v>
      </c>
      <c r="FY6" s="104">
        <f t="shared" si="16"/>
        <v>46001</v>
      </c>
      <c r="FZ6" s="104">
        <f t="shared" si="16"/>
        <v>46002</v>
      </c>
      <c r="GA6" s="104">
        <f t="shared" si="16"/>
        <v>46003</v>
      </c>
      <c r="GB6" s="185">
        <f t="shared" si="16"/>
        <v>46004</v>
      </c>
      <c r="GC6" s="104">
        <f t="shared" si="16"/>
        <v>46005</v>
      </c>
      <c r="GD6" s="104">
        <f t="shared" si="16"/>
        <v>46006</v>
      </c>
      <c r="GE6" s="104">
        <f t="shared" si="16"/>
        <v>46007</v>
      </c>
      <c r="GF6" s="104">
        <f t="shared" si="16"/>
        <v>46008</v>
      </c>
      <c r="GG6" s="105">
        <f t="shared" si="16"/>
        <v>46009</v>
      </c>
      <c r="GH6" s="176">
        <f t="shared" si="16"/>
        <v>46010</v>
      </c>
      <c r="GI6" s="104">
        <f t="shared" si="16"/>
        <v>46011</v>
      </c>
      <c r="GJ6" s="104">
        <f t="shared" si="16"/>
        <v>46012</v>
      </c>
      <c r="GK6" s="104">
        <f t="shared" si="16"/>
        <v>46013</v>
      </c>
      <c r="GL6" s="104">
        <f t="shared" si="16"/>
        <v>46014</v>
      </c>
      <c r="GM6" s="104">
        <f t="shared" si="16"/>
        <v>46015</v>
      </c>
      <c r="GN6" s="104">
        <f t="shared" si="16"/>
        <v>46016</v>
      </c>
      <c r="GO6" s="104">
        <f t="shared" si="16"/>
        <v>46017</v>
      </c>
      <c r="GP6" s="104">
        <f t="shared" si="16"/>
        <v>46018</v>
      </c>
      <c r="GQ6" s="104">
        <f t="shared" si="16"/>
        <v>46019</v>
      </c>
      <c r="GR6" s="104">
        <f t="shared" si="16"/>
        <v>46020</v>
      </c>
      <c r="GS6" s="104">
        <f t="shared" si="17"/>
        <v>46021</v>
      </c>
      <c r="GT6" s="105">
        <f t="shared" si="17"/>
        <v>46022</v>
      </c>
      <c r="GU6" s="204">
        <f t="shared" si="17"/>
        <v>46023</v>
      </c>
      <c r="GV6" s="104">
        <f t="shared" si="17"/>
        <v>46024</v>
      </c>
      <c r="GW6" s="104">
        <f t="shared" si="17"/>
        <v>46025</v>
      </c>
      <c r="GX6" s="104">
        <f t="shared" si="17"/>
        <v>46026</v>
      </c>
      <c r="GY6" s="104">
        <f t="shared" si="17"/>
        <v>46027</v>
      </c>
      <c r="GZ6" s="104">
        <f t="shared" si="17"/>
        <v>46028</v>
      </c>
      <c r="HA6" s="104">
        <f t="shared" si="17"/>
        <v>46029</v>
      </c>
      <c r="HB6" s="104">
        <f t="shared" si="17"/>
        <v>46030</v>
      </c>
      <c r="HC6" s="104">
        <f t="shared" si="17"/>
        <v>46031</v>
      </c>
      <c r="HD6" s="104">
        <f t="shared" si="17"/>
        <v>46032</v>
      </c>
      <c r="HE6" s="104">
        <f t="shared" si="17"/>
        <v>46033</v>
      </c>
      <c r="HF6" s="104">
        <f t="shared" si="17"/>
        <v>46034</v>
      </c>
      <c r="HG6" s="104">
        <f t="shared" si="17"/>
        <v>46035</v>
      </c>
      <c r="HH6" s="104">
        <f t="shared" si="17"/>
        <v>46036</v>
      </c>
      <c r="HI6" s="104">
        <f t="shared" si="17"/>
        <v>46037</v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63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4"/>
      <c r="AJ8" s="264"/>
      <c r="AK8" s="264"/>
      <c r="AL8" s="264"/>
      <c r="AM8" s="264"/>
      <c r="AN8" s="264"/>
      <c r="AO8" s="264"/>
      <c r="AP8" s="264"/>
      <c r="AQ8" s="264"/>
      <c r="AR8" s="264"/>
      <c r="AS8" s="264"/>
      <c r="AT8" s="264"/>
      <c r="AU8" s="264"/>
      <c r="AV8" s="264"/>
      <c r="AW8" s="264"/>
      <c r="AX8" s="264"/>
      <c r="AY8" s="264"/>
      <c r="AZ8" s="264"/>
      <c r="BA8" s="264"/>
      <c r="BB8" s="264"/>
      <c r="BC8" s="264"/>
      <c r="BD8" s="264"/>
      <c r="BE8" s="264"/>
      <c r="BF8" s="264"/>
      <c r="BG8" s="264"/>
      <c r="BH8" s="264"/>
      <c r="BI8" s="264"/>
      <c r="BJ8" s="264"/>
      <c r="BK8" s="264"/>
      <c r="BL8" s="264"/>
      <c r="BM8" s="264"/>
      <c r="BN8" s="264"/>
      <c r="BO8" s="264"/>
      <c r="BP8" s="265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4"/>
      <c r="B10" s="76">
        <f t="shared" ref="B10:B54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45</v>
      </c>
      <c r="K10" s="77" t="s">
        <v>45</v>
      </c>
      <c r="L10" s="77"/>
      <c r="M10" s="78"/>
      <c r="N10" s="91"/>
      <c r="O10" s="86">
        <v>0</v>
      </c>
      <c r="P10" s="78">
        <v>45847</v>
      </c>
      <c r="Q10" s="78">
        <v>45847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186"/>
      <c r="BN10" s="82"/>
      <c r="BO10" s="83"/>
      <c r="BP10" s="82"/>
      <c r="BQ10" s="82"/>
      <c r="BR10" s="82"/>
      <c r="BS10" s="82"/>
      <c r="BT10" s="186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186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82"/>
      <c r="DJ10" s="186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82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4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/>
      <c r="N11" s="91"/>
      <c r="O11" s="86">
        <v>0</v>
      </c>
      <c r="P11" s="78">
        <v>45849</v>
      </c>
      <c r="Q11" s="91">
        <v>45849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186"/>
      <c r="BN11" s="82"/>
      <c r="BO11" s="83"/>
      <c r="BP11" s="82"/>
      <c r="BQ11" s="82"/>
      <c r="BR11" s="82"/>
      <c r="BS11" s="82"/>
      <c r="BT11" s="186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186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82"/>
      <c r="DJ11" s="186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82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1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/>
      <c r="N12" s="91"/>
      <c r="O12" s="86">
        <v>0</v>
      </c>
      <c r="P12" s="78">
        <v>45852</v>
      </c>
      <c r="Q12" s="91">
        <v>45852</v>
      </c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5"/>
      <c r="BN12" s="212"/>
      <c r="BO12" s="213"/>
      <c r="BP12" s="212"/>
      <c r="BQ12" s="212"/>
      <c r="BR12" s="212"/>
      <c r="BS12" s="212"/>
      <c r="BT12" s="215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5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12"/>
      <c r="DJ12" s="215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1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3"/>
      <c r="B13" s="76">
        <f t="shared" si="20"/>
        <v>4</v>
      </c>
      <c r="C13" s="93"/>
      <c r="D13" s="93" t="s">
        <v>31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/>
      <c r="N13" s="91"/>
      <c r="O13" s="86">
        <v>0</v>
      </c>
      <c r="P13" s="78">
        <v>45853</v>
      </c>
      <c r="Q13" s="91">
        <v>45853</v>
      </c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5"/>
      <c r="BN13" s="212"/>
      <c r="BO13" s="213"/>
      <c r="BP13" s="212"/>
      <c r="BQ13" s="212"/>
      <c r="BR13" s="212"/>
      <c r="BS13" s="212"/>
      <c r="BT13" s="215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5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12"/>
      <c r="DJ13" s="215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1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3"/>
      <c r="B14" s="76">
        <f t="shared" si="20"/>
        <v>5</v>
      </c>
      <c r="C14" s="93"/>
      <c r="D14" s="93"/>
      <c r="E14" s="94"/>
      <c r="F14" s="169" t="s">
        <v>28</v>
      </c>
      <c r="G14" s="96"/>
      <c r="H14" s="164"/>
      <c r="I14" s="163" t="s">
        <v>24</v>
      </c>
      <c r="J14" s="77" t="s">
        <v>45</v>
      </c>
      <c r="K14" s="77" t="s">
        <v>46</v>
      </c>
      <c r="L14" s="77"/>
      <c r="M14" s="91"/>
      <c r="N14" s="91"/>
      <c r="O14" s="86">
        <v>0</v>
      </c>
      <c r="P14" s="78">
        <v>45854</v>
      </c>
      <c r="Q14" s="91">
        <v>45854</v>
      </c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5"/>
      <c r="BN14" s="212"/>
      <c r="BO14" s="213"/>
      <c r="BP14" s="212"/>
      <c r="BQ14" s="212"/>
      <c r="BR14" s="212"/>
      <c r="BS14" s="212"/>
      <c r="BT14" s="215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5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12"/>
      <c r="DJ14" s="215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3"/>
      <c r="B15" s="76">
        <f t="shared" si="20"/>
        <v>6</v>
      </c>
      <c r="C15" s="93"/>
      <c r="D15" s="93" t="s">
        <v>32</v>
      </c>
      <c r="E15" s="94"/>
      <c r="F15" s="169"/>
      <c r="G15" s="96"/>
      <c r="H15" s="164"/>
      <c r="I15" s="163"/>
      <c r="J15" s="77"/>
      <c r="K15" s="77" t="s">
        <v>46</v>
      </c>
      <c r="L15" s="77"/>
      <c r="M15" s="91"/>
      <c r="N15" s="91"/>
      <c r="O15" s="86">
        <v>0</v>
      </c>
      <c r="P15" s="78">
        <v>45856</v>
      </c>
      <c r="Q15" s="91">
        <v>45856</v>
      </c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5"/>
      <c r="BN15" s="212"/>
      <c r="BO15" s="213"/>
      <c r="BP15" s="212"/>
      <c r="BQ15" s="212"/>
      <c r="BR15" s="212"/>
      <c r="BS15" s="212"/>
      <c r="BT15" s="215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5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12"/>
      <c r="DJ15" s="215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1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3"/>
      <c r="B16" s="76">
        <f t="shared" si="20"/>
        <v>7</v>
      </c>
      <c r="C16" s="93"/>
      <c r="D16" s="93" t="s">
        <v>33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/>
      <c r="N16" s="91"/>
      <c r="O16" s="86">
        <v>0</v>
      </c>
      <c r="P16" s="78">
        <v>45859</v>
      </c>
      <c r="Q16" s="91">
        <v>45859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5"/>
      <c r="BN16" s="212"/>
      <c r="BO16" s="213"/>
      <c r="BP16" s="212"/>
      <c r="BQ16" s="212"/>
      <c r="BR16" s="212"/>
      <c r="BS16" s="212"/>
      <c r="BT16" s="215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5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12"/>
      <c r="DJ16" s="215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1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3"/>
      <c r="B17" s="76">
        <f t="shared" si="20"/>
        <v>8</v>
      </c>
      <c r="C17" s="93"/>
      <c r="D17" s="93"/>
      <c r="E17" s="94"/>
      <c r="F17" s="169" t="s">
        <v>36</v>
      </c>
      <c r="G17" s="96"/>
      <c r="H17" s="164"/>
      <c r="I17" s="163" t="s">
        <v>24</v>
      </c>
      <c r="J17" s="77" t="s">
        <v>45</v>
      </c>
      <c r="K17" s="77" t="s">
        <v>46</v>
      </c>
      <c r="L17" s="77"/>
      <c r="M17" s="91"/>
      <c r="N17" s="91"/>
      <c r="O17" s="86">
        <v>0</v>
      </c>
      <c r="P17" s="78">
        <v>45861</v>
      </c>
      <c r="Q17" s="91">
        <v>45861</v>
      </c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5"/>
      <c r="BN17" s="212"/>
      <c r="BO17" s="213"/>
      <c r="BP17" s="212"/>
      <c r="BQ17" s="212"/>
      <c r="BR17" s="212"/>
      <c r="BS17" s="212"/>
      <c r="BT17" s="215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5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12"/>
      <c r="DJ17" s="215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1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4"/>
      <c r="B18" s="76">
        <f t="shared" si="20"/>
        <v>9</v>
      </c>
      <c r="C18" s="93"/>
      <c r="D18" s="93" t="s">
        <v>34</v>
      </c>
      <c r="E18" s="93"/>
      <c r="F18" s="95"/>
      <c r="G18" s="95"/>
      <c r="H18" s="164"/>
      <c r="I18" s="163"/>
      <c r="J18" s="77"/>
      <c r="K18" s="77" t="s">
        <v>46</v>
      </c>
      <c r="L18" s="77"/>
      <c r="M18" s="91"/>
      <c r="N18" s="91"/>
      <c r="O18" s="86">
        <v>0</v>
      </c>
      <c r="P18" s="78">
        <v>45863</v>
      </c>
      <c r="Q18" s="91">
        <v>45863</v>
      </c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186"/>
      <c r="BN18" s="82"/>
      <c r="BO18" s="83"/>
      <c r="BP18" s="82"/>
      <c r="BQ18" s="82"/>
      <c r="BR18" s="82"/>
      <c r="BS18" s="82"/>
      <c r="BT18" s="186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186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82"/>
      <c r="DJ18" s="186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82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35</v>
      </c>
      <c r="E19" s="94"/>
      <c r="F19" s="97"/>
      <c r="G19" s="96"/>
      <c r="H19" s="164"/>
      <c r="I19" s="163"/>
      <c r="J19" s="77"/>
      <c r="K19" s="77" t="s">
        <v>46</v>
      </c>
      <c r="L19" s="77"/>
      <c r="M19" s="78"/>
      <c r="N19" s="91"/>
      <c r="O19" s="86">
        <v>0</v>
      </c>
      <c r="P19" s="78">
        <v>45866</v>
      </c>
      <c r="Q19" s="91">
        <v>45866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186"/>
      <c r="BN19" s="82"/>
      <c r="BO19" s="83"/>
      <c r="BP19" s="82"/>
      <c r="BQ19" s="82"/>
      <c r="BR19" s="82"/>
      <c r="BS19" s="82"/>
      <c r="BT19" s="186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186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82"/>
      <c r="DJ19" s="186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82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 t="s">
        <v>49</v>
      </c>
      <c r="E20" s="94"/>
      <c r="F20" s="169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/>
      <c r="Q20" s="91"/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186"/>
      <c r="BN20" s="82"/>
      <c r="BO20" s="83"/>
      <c r="BP20" s="82"/>
      <c r="BQ20" s="82"/>
      <c r="BR20" s="82"/>
      <c r="BS20" s="82"/>
      <c r="BT20" s="186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186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82"/>
      <c r="DJ20" s="186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 t="s">
        <v>37</v>
      </c>
      <c r="G21" s="96"/>
      <c r="H21" s="164"/>
      <c r="I21" s="163" t="s">
        <v>24</v>
      </c>
      <c r="J21" s="77" t="s">
        <v>45</v>
      </c>
      <c r="K21" s="77" t="s">
        <v>46</v>
      </c>
      <c r="L21" s="77"/>
      <c r="M21" s="78"/>
      <c r="N21" s="91"/>
      <c r="O21" s="86">
        <v>0</v>
      </c>
      <c r="P21" s="78">
        <v>45868</v>
      </c>
      <c r="Q21" s="91">
        <v>45868</v>
      </c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186"/>
      <c r="BN21" s="82"/>
      <c r="BO21" s="83"/>
      <c r="BP21" s="82"/>
      <c r="BQ21" s="82"/>
      <c r="BR21" s="82"/>
      <c r="BS21" s="82"/>
      <c r="BT21" s="186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186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82"/>
      <c r="DJ21" s="186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82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3"/>
      <c r="B22" s="76">
        <f t="shared" si="20"/>
        <v>13</v>
      </c>
      <c r="C22" s="95"/>
      <c r="D22" s="97"/>
      <c r="E22" s="95"/>
      <c r="F22" s="97"/>
      <c r="G22" s="96"/>
      <c r="H22" s="164"/>
      <c r="I22" s="163"/>
      <c r="J22" s="77"/>
      <c r="K22" s="77"/>
      <c r="L22" s="77"/>
      <c r="M22" s="78"/>
      <c r="N22" s="91"/>
      <c r="O22" s="86">
        <v>0</v>
      </c>
      <c r="P22" s="78"/>
      <c r="Q22" s="91"/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186"/>
      <c r="BN22" s="82"/>
      <c r="BO22" s="83"/>
      <c r="BP22" s="82"/>
      <c r="BQ22" s="82"/>
      <c r="BR22" s="82"/>
      <c r="BS22" s="82"/>
      <c r="BT22" s="186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186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82"/>
      <c r="DJ22" s="186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82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3"/>
      <c r="B23" s="76">
        <f t="shared" si="20"/>
        <v>14</v>
      </c>
      <c r="C23" s="169" t="s">
        <v>25</v>
      </c>
      <c r="D23" s="169" t="s">
        <v>29</v>
      </c>
      <c r="E23" s="169"/>
      <c r="F23" s="95"/>
      <c r="G23" s="96"/>
      <c r="H23" s="164" t="s">
        <v>24</v>
      </c>
      <c r="I23" s="163"/>
      <c r="J23" s="77"/>
      <c r="K23" s="77" t="s">
        <v>46</v>
      </c>
      <c r="L23" s="85"/>
      <c r="M23" s="78"/>
      <c r="N23" s="91"/>
      <c r="O23" s="86">
        <v>0</v>
      </c>
      <c r="P23" s="78">
        <v>45859</v>
      </c>
      <c r="Q23" s="91">
        <v>45860</v>
      </c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186"/>
      <c r="BN23" s="82"/>
      <c r="BO23" s="83"/>
      <c r="BP23" s="82"/>
      <c r="BQ23" s="82"/>
      <c r="BR23" s="82"/>
      <c r="BS23" s="82"/>
      <c r="BT23" s="186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186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82"/>
      <c r="DJ23" s="186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82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3"/>
      <c r="B24" s="76">
        <f t="shared" si="20"/>
        <v>15</v>
      </c>
      <c r="C24" s="93"/>
      <c r="D24" s="93" t="s">
        <v>30</v>
      </c>
      <c r="E24" s="94"/>
      <c r="F24" s="168"/>
      <c r="G24" s="96"/>
      <c r="H24" s="164"/>
      <c r="I24" s="163"/>
      <c r="J24" s="77"/>
      <c r="K24" s="77" t="s">
        <v>46</v>
      </c>
      <c r="L24" s="85"/>
      <c r="M24" s="78"/>
      <c r="N24" s="91"/>
      <c r="O24" s="86">
        <v>0</v>
      </c>
      <c r="P24" s="78">
        <v>45861</v>
      </c>
      <c r="Q24" s="91">
        <v>45863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186"/>
      <c r="BN24" s="82"/>
      <c r="BO24" s="83"/>
      <c r="BP24" s="82"/>
      <c r="BQ24" s="82"/>
      <c r="BR24" s="82"/>
      <c r="BS24" s="82"/>
      <c r="BT24" s="186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186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82"/>
      <c r="DJ24" s="186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23"/>
      <c r="B25" s="76">
        <f t="shared" si="20"/>
        <v>16</v>
      </c>
      <c r="C25" s="93"/>
      <c r="D25" s="93" t="s">
        <v>31</v>
      </c>
      <c r="E25" s="94"/>
      <c r="F25" s="169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>
        <v>45866</v>
      </c>
      <c r="Q25" s="91">
        <v>45870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186"/>
      <c r="BN25" s="82"/>
      <c r="BO25" s="83"/>
      <c r="BP25" s="82"/>
      <c r="BQ25" s="82"/>
      <c r="BR25" s="82"/>
      <c r="BS25" s="82"/>
      <c r="BT25" s="186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186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82"/>
      <c r="DJ25" s="186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82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6"/>
      <c r="FH25" s="82"/>
      <c r="FI25" s="82"/>
      <c r="FJ25" s="82"/>
      <c r="FK25" s="82"/>
      <c r="FL25" s="82"/>
      <c r="FM25" s="82"/>
      <c r="FN25" s="186"/>
      <c r="FO25" s="199"/>
      <c r="FP25" s="198"/>
      <c r="FQ25" s="186"/>
      <c r="FR25" s="186"/>
      <c r="FS25" s="82"/>
      <c r="FT25" s="82"/>
      <c r="FU25" s="82"/>
      <c r="FV25" s="82"/>
      <c r="FW25" s="82"/>
      <c r="FX25" s="82"/>
      <c r="FY25" s="82"/>
      <c r="FZ25" s="82"/>
      <c r="GA25" s="82"/>
      <c r="GB25" s="186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208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s="219" customFormat="1" ht="30" customHeight="1" x14ac:dyDescent="0.15">
      <c r="A26" s="223"/>
      <c r="B26" s="76">
        <f t="shared" si="20"/>
        <v>17</v>
      </c>
      <c r="C26" s="220"/>
      <c r="D26" s="93"/>
      <c r="E26" s="94"/>
      <c r="F26" s="169" t="s">
        <v>28</v>
      </c>
      <c r="G26" s="96"/>
      <c r="H26" s="164"/>
      <c r="I26" s="163" t="s">
        <v>25</v>
      </c>
      <c r="J26" s="77" t="s">
        <v>45</v>
      </c>
      <c r="K26" s="77" t="s">
        <v>46</v>
      </c>
      <c r="L26" s="85"/>
      <c r="M26" s="78"/>
      <c r="N26" s="91"/>
      <c r="O26" s="86">
        <v>0</v>
      </c>
      <c r="P26" s="78">
        <v>45875</v>
      </c>
      <c r="Q26" s="91">
        <v>45875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5"/>
      <c r="BN26" s="212"/>
      <c r="BO26" s="213"/>
      <c r="BP26" s="212"/>
      <c r="BQ26" s="212"/>
      <c r="BR26" s="212"/>
      <c r="BS26" s="212"/>
      <c r="BT26" s="215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5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12"/>
      <c r="DJ26" s="215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s="219" customFormat="1" ht="30" customHeight="1" x14ac:dyDescent="0.15">
      <c r="A27" s="223"/>
      <c r="B27" s="76">
        <f t="shared" si="20"/>
        <v>18</v>
      </c>
      <c r="C27" s="220"/>
      <c r="D27" s="93" t="s">
        <v>32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45873</v>
      </c>
      <c r="Q27" s="91">
        <v>45875</v>
      </c>
      <c r="R27" s="210"/>
      <c r="S27" s="211"/>
      <c r="T27" s="212"/>
      <c r="U27" s="212"/>
      <c r="V27" s="212"/>
      <c r="W27" s="212"/>
      <c r="X27" s="212"/>
      <c r="Y27" s="213"/>
      <c r="Z27" s="213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3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3"/>
      <c r="AX27" s="214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5"/>
      <c r="BN27" s="212"/>
      <c r="BO27" s="213"/>
      <c r="BP27" s="212"/>
      <c r="BQ27" s="212"/>
      <c r="BR27" s="212"/>
      <c r="BS27" s="212"/>
      <c r="BT27" s="215"/>
      <c r="BU27" s="212"/>
      <c r="BV27" s="212"/>
      <c r="BW27" s="212"/>
      <c r="BX27" s="212"/>
      <c r="BY27" s="212"/>
      <c r="BZ27" s="212"/>
      <c r="CA27" s="213"/>
      <c r="CB27" s="214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12"/>
      <c r="CO27" s="215"/>
      <c r="CP27" s="212"/>
      <c r="CQ27" s="212"/>
      <c r="CR27" s="212"/>
      <c r="CS27" s="212"/>
      <c r="CT27" s="213"/>
      <c r="CU27" s="212"/>
      <c r="CV27" s="212"/>
      <c r="CW27" s="212"/>
      <c r="CX27" s="212"/>
      <c r="CY27" s="212"/>
      <c r="CZ27" s="212"/>
      <c r="DA27" s="212"/>
      <c r="DB27" s="212"/>
      <c r="DC27" s="212"/>
      <c r="DD27" s="212"/>
      <c r="DE27" s="212"/>
      <c r="DF27" s="213"/>
      <c r="DG27" s="214"/>
      <c r="DH27" s="212"/>
      <c r="DI27" s="212"/>
      <c r="DJ27" s="215"/>
      <c r="DK27" s="212"/>
      <c r="DL27" s="212"/>
      <c r="DM27" s="212"/>
      <c r="DN27" s="212"/>
      <c r="DO27" s="212"/>
      <c r="DP27" s="212"/>
      <c r="DQ27" s="212"/>
      <c r="DR27" s="212"/>
      <c r="DS27" s="212"/>
      <c r="DT27" s="212"/>
      <c r="DU27" s="212"/>
      <c r="DV27" s="212"/>
      <c r="DW27" s="212"/>
      <c r="DX27" s="212"/>
      <c r="DY27" s="213"/>
      <c r="DZ27" s="212"/>
      <c r="EA27" s="212"/>
      <c r="EB27" s="212"/>
      <c r="EC27" s="212"/>
      <c r="ED27" s="212"/>
      <c r="EE27" s="212"/>
      <c r="EF27" s="212"/>
      <c r="EG27" s="212"/>
      <c r="EH27" s="212"/>
      <c r="EI27" s="212"/>
      <c r="EJ27" s="213"/>
      <c r="EK27" s="214"/>
      <c r="EL27" s="212"/>
      <c r="EM27" s="212"/>
      <c r="EN27" s="212"/>
      <c r="EO27" s="212"/>
      <c r="EP27" s="212"/>
      <c r="EQ27" s="212"/>
      <c r="ER27" s="212"/>
      <c r="ES27" s="212"/>
      <c r="ET27" s="212"/>
      <c r="EU27" s="212"/>
      <c r="EV27" s="212"/>
      <c r="EW27" s="212"/>
      <c r="EX27" s="212"/>
      <c r="EY27" s="212"/>
      <c r="EZ27" s="212"/>
      <c r="FA27" s="212"/>
      <c r="FB27" s="212"/>
      <c r="FC27" s="213"/>
      <c r="FD27" s="212"/>
      <c r="FE27" s="212"/>
      <c r="FF27" s="212"/>
      <c r="FG27" s="215"/>
      <c r="FH27" s="212"/>
      <c r="FI27" s="212"/>
      <c r="FJ27" s="212"/>
      <c r="FK27" s="212"/>
      <c r="FL27" s="212"/>
      <c r="FM27" s="212"/>
      <c r="FN27" s="215"/>
      <c r="FO27" s="216"/>
      <c r="FP27" s="217"/>
      <c r="FQ27" s="215"/>
      <c r="FR27" s="215"/>
      <c r="FS27" s="212"/>
      <c r="FT27" s="212"/>
      <c r="FU27" s="212"/>
      <c r="FV27" s="212"/>
      <c r="FW27" s="212"/>
      <c r="FX27" s="212"/>
      <c r="FY27" s="212"/>
      <c r="FZ27" s="212"/>
      <c r="GA27" s="212"/>
      <c r="GB27" s="215"/>
      <c r="GC27" s="212"/>
      <c r="GD27" s="212"/>
      <c r="GE27" s="212"/>
      <c r="GF27" s="212"/>
      <c r="GG27" s="213"/>
      <c r="GH27" s="212"/>
      <c r="GI27" s="212"/>
      <c r="GJ27" s="212"/>
      <c r="GK27" s="212"/>
      <c r="GL27" s="212"/>
      <c r="GM27" s="212"/>
      <c r="GN27" s="212"/>
      <c r="GO27" s="212"/>
      <c r="GP27" s="212"/>
      <c r="GQ27" s="212"/>
      <c r="GR27" s="212"/>
      <c r="GS27" s="212"/>
      <c r="GT27" s="213"/>
      <c r="GU27" s="218"/>
      <c r="GV27" s="212"/>
      <c r="GW27" s="212"/>
      <c r="GX27" s="212"/>
      <c r="GY27" s="212"/>
      <c r="GZ27" s="212"/>
      <c r="HA27" s="212"/>
      <c r="HB27" s="212"/>
      <c r="HC27" s="212"/>
      <c r="HD27" s="212"/>
      <c r="HE27" s="212"/>
      <c r="HF27" s="212"/>
      <c r="HG27" s="212"/>
      <c r="HH27" s="212"/>
      <c r="HI27" s="212"/>
      <c r="HJ27" s="213"/>
      <c r="HK27" s="212"/>
      <c r="HL27" s="212"/>
      <c r="HM27" s="212"/>
      <c r="HN27" s="212"/>
      <c r="HO27" s="212"/>
      <c r="HP27" s="212"/>
      <c r="HQ27" s="212"/>
      <c r="HR27" s="212"/>
      <c r="HS27" s="212"/>
      <c r="HT27" s="212"/>
      <c r="HU27" s="212"/>
      <c r="HV27" s="212"/>
    </row>
    <row r="28" spans="1:230" ht="30" customHeight="1" x14ac:dyDescent="0.15">
      <c r="B28" s="76">
        <f t="shared" si="20"/>
        <v>19</v>
      </c>
      <c r="C28" s="93"/>
      <c r="D28" s="93" t="s">
        <v>33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45875</v>
      </c>
      <c r="Q28" s="91">
        <v>45889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186"/>
      <c r="BN28" s="82"/>
      <c r="BO28" s="83"/>
      <c r="BP28" s="82"/>
      <c r="BQ28" s="82"/>
      <c r="BR28" s="82"/>
      <c r="BS28" s="82"/>
      <c r="BT28" s="186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186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82"/>
      <c r="DJ28" s="186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36</v>
      </c>
      <c r="G29" s="95"/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45889</v>
      </c>
      <c r="Q29" s="91">
        <v>45887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186"/>
      <c r="BN29" s="82"/>
      <c r="BO29" s="83"/>
      <c r="BP29" s="82"/>
      <c r="BQ29" s="82"/>
      <c r="BR29" s="82"/>
      <c r="BS29" s="82"/>
      <c r="BT29" s="186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186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82"/>
      <c r="DJ29" s="186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82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3"/>
      <c r="B30" s="76">
        <f t="shared" si="20"/>
        <v>21</v>
      </c>
      <c r="C30" s="93"/>
      <c r="D30" s="93" t="s">
        <v>34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45887</v>
      </c>
      <c r="Q30" s="91">
        <v>45889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186"/>
      <c r="BN30" s="82"/>
      <c r="BO30" s="83"/>
      <c r="BP30" s="82"/>
      <c r="BQ30" s="82"/>
      <c r="BR30" s="82"/>
      <c r="BS30" s="82"/>
      <c r="BT30" s="186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186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82"/>
      <c r="DJ30" s="186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3"/>
      <c r="B31" s="76">
        <f t="shared" si="20"/>
        <v>22</v>
      </c>
      <c r="C31" s="93"/>
      <c r="D31" s="93" t="s">
        <v>35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45887</v>
      </c>
      <c r="Q31" s="91">
        <v>45889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186"/>
      <c r="BN31" s="82"/>
      <c r="BO31" s="83"/>
      <c r="BP31" s="82"/>
      <c r="BQ31" s="82"/>
      <c r="BR31" s="82"/>
      <c r="BS31" s="82"/>
      <c r="BT31" s="186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186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82"/>
      <c r="DJ31" s="186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23"/>
      <c r="B32" s="76">
        <f t="shared" si="20"/>
        <v>23</v>
      </c>
      <c r="C32" s="93"/>
      <c r="D32" s="93" t="s">
        <v>49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/>
      <c r="Q32" s="91"/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186"/>
      <c r="BN32" s="82"/>
      <c r="BO32" s="83"/>
      <c r="BP32" s="82"/>
      <c r="BQ32" s="82"/>
      <c r="BR32" s="82"/>
      <c r="BS32" s="82"/>
      <c r="BT32" s="186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186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82"/>
      <c r="DJ32" s="186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82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6"/>
      <c r="FH32" s="82"/>
      <c r="FI32" s="82"/>
      <c r="FJ32" s="82"/>
      <c r="FK32" s="82"/>
      <c r="FL32" s="82"/>
      <c r="FM32" s="82"/>
      <c r="FN32" s="186"/>
      <c r="FO32" s="199"/>
      <c r="FP32" s="198"/>
      <c r="FQ32" s="186"/>
      <c r="FR32" s="186"/>
      <c r="FS32" s="82"/>
      <c r="FT32" s="82"/>
      <c r="FU32" s="82"/>
      <c r="FV32" s="82"/>
      <c r="FW32" s="82"/>
      <c r="FX32" s="82"/>
      <c r="FY32" s="82"/>
      <c r="FZ32" s="82"/>
      <c r="GA32" s="82"/>
      <c r="GB32" s="186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208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23"/>
      <c r="B33" s="76">
        <f t="shared" si="20"/>
        <v>24</v>
      </c>
      <c r="C33" s="93"/>
      <c r="D33" s="93"/>
      <c r="E33" s="94"/>
      <c r="F33" s="169" t="s">
        <v>37</v>
      </c>
      <c r="G33" s="96"/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45889</v>
      </c>
      <c r="Q33" s="91">
        <v>45889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186"/>
      <c r="BN33" s="82"/>
      <c r="BO33" s="83"/>
      <c r="BP33" s="82"/>
      <c r="BQ33" s="82"/>
      <c r="BR33" s="82"/>
      <c r="BS33" s="82"/>
      <c r="BT33" s="186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186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82"/>
      <c r="DJ33" s="186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82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19" customFormat="1" ht="30" customHeight="1" x14ac:dyDescent="0.15">
      <c r="A34" s="223"/>
      <c r="B34" s="76">
        <f t="shared" si="20"/>
        <v>25</v>
      </c>
      <c r="C34" s="237"/>
      <c r="D34" s="97"/>
      <c r="E34" s="97"/>
      <c r="F34" s="95"/>
      <c r="G34" s="96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210"/>
      <c r="S34" s="211"/>
      <c r="T34" s="212"/>
      <c r="U34" s="212"/>
      <c r="V34" s="212"/>
      <c r="W34" s="212"/>
      <c r="X34" s="212"/>
      <c r="Y34" s="213"/>
      <c r="Z34" s="213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3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3"/>
      <c r="AX34" s="214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5"/>
      <c r="BN34" s="212"/>
      <c r="BO34" s="213"/>
      <c r="BP34" s="212"/>
      <c r="BQ34" s="212"/>
      <c r="BR34" s="212"/>
      <c r="BS34" s="212"/>
      <c r="BT34" s="215"/>
      <c r="BU34" s="212"/>
      <c r="BV34" s="212"/>
      <c r="BW34" s="212"/>
      <c r="BX34" s="212"/>
      <c r="BY34" s="212"/>
      <c r="BZ34" s="212"/>
      <c r="CA34" s="213"/>
      <c r="CB34" s="214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12"/>
      <c r="CO34" s="215"/>
      <c r="CP34" s="212"/>
      <c r="CQ34" s="212"/>
      <c r="CR34" s="212"/>
      <c r="CS34" s="212"/>
      <c r="CT34" s="213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3"/>
      <c r="DG34" s="214"/>
      <c r="DH34" s="212"/>
      <c r="DI34" s="212"/>
      <c r="DJ34" s="215"/>
      <c r="DK34" s="212"/>
      <c r="DL34" s="212"/>
      <c r="DM34" s="212"/>
      <c r="DN34" s="212"/>
      <c r="DO34" s="212"/>
      <c r="DP34" s="212"/>
      <c r="DQ34" s="212"/>
      <c r="DR34" s="212"/>
      <c r="DS34" s="212"/>
      <c r="DT34" s="212"/>
      <c r="DU34" s="212"/>
      <c r="DV34" s="212"/>
      <c r="DW34" s="212"/>
      <c r="DX34" s="212"/>
      <c r="DY34" s="213"/>
      <c r="DZ34" s="212"/>
      <c r="EA34" s="212"/>
      <c r="EB34" s="212"/>
      <c r="EC34" s="212"/>
      <c r="ED34" s="212"/>
      <c r="EE34" s="212"/>
      <c r="EF34" s="212"/>
      <c r="EG34" s="212"/>
      <c r="EH34" s="212"/>
      <c r="EI34" s="212"/>
      <c r="EJ34" s="213"/>
      <c r="EK34" s="214"/>
      <c r="EL34" s="212"/>
      <c r="EM34" s="212"/>
      <c r="EN34" s="212"/>
      <c r="EO34" s="212"/>
      <c r="EP34" s="212"/>
      <c r="EQ34" s="212"/>
      <c r="ER34" s="212"/>
      <c r="ES34" s="212"/>
      <c r="ET34" s="212"/>
      <c r="EU34" s="212"/>
      <c r="EV34" s="212"/>
      <c r="EW34" s="212"/>
      <c r="EX34" s="212"/>
      <c r="EY34" s="212"/>
      <c r="EZ34" s="212"/>
      <c r="FA34" s="212"/>
      <c r="FB34" s="212"/>
      <c r="FC34" s="213"/>
      <c r="FD34" s="212"/>
      <c r="FE34" s="212"/>
      <c r="FF34" s="212"/>
      <c r="FG34" s="215"/>
      <c r="FH34" s="212"/>
      <c r="FI34" s="212"/>
      <c r="FJ34" s="212"/>
      <c r="FK34" s="212"/>
      <c r="FL34" s="212"/>
      <c r="FM34" s="212"/>
      <c r="FN34" s="215"/>
      <c r="FO34" s="216"/>
      <c r="FP34" s="217"/>
      <c r="FQ34" s="215"/>
      <c r="FR34" s="215"/>
      <c r="FS34" s="212"/>
      <c r="FT34" s="212"/>
      <c r="FU34" s="212"/>
      <c r="FV34" s="212"/>
      <c r="FW34" s="212"/>
      <c r="FX34" s="212"/>
      <c r="FY34" s="212"/>
      <c r="FZ34" s="212"/>
      <c r="GA34" s="212"/>
      <c r="GB34" s="215"/>
      <c r="GC34" s="212"/>
      <c r="GD34" s="212"/>
      <c r="GE34" s="212"/>
      <c r="GF34" s="212"/>
      <c r="GG34" s="213"/>
      <c r="GH34" s="212"/>
      <c r="GI34" s="212"/>
      <c r="GJ34" s="212"/>
      <c r="GK34" s="212"/>
      <c r="GL34" s="212"/>
      <c r="GM34" s="212"/>
      <c r="GN34" s="212"/>
      <c r="GO34" s="212"/>
      <c r="GP34" s="212"/>
      <c r="GQ34" s="212"/>
      <c r="GR34" s="212"/>
      <c r="GS34" s="212"/>
      <c r="GT34" s="213"/>
      <c r="GU34" s="218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J34" s="213"/>
      <c r="HK34" s="212"/>
      <c r="HL34" s="212"/>
      <c r="HM34" s="212"/>
      <c r="HN34" s="212"/>
      <c r="HO34" s="212"/>
      <c r="HP34" s="212"/>
      <c r="HQ34" s="212"/>
      <c r="HR34" s="212"/>
      <c r="HS34" s="212"/>
      <c r="HT34" s="212"/>
      <c r="HU34" s="212"/>
      <c r="HV34" s="212"/>
    </row>
    <row r="35" spans="1:230" ht="30" customHeight="1" x14ac:dyDescent="0.15">
      <c r="A35" s="223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45890</v>
      </c>
      <c r="Q35" s="91">
        <v>45890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186"/>
      <c r="BN35" s="82"/>
      <c r="BO35" s="83"/>
      <c r="BP35" s="82"/>
      <c r="BQ35" s="82"/>
      <c r="BR35" s="82"/>
      <c r="BS35" s="82"/>
      <c r="BT35" s="186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186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82"/>
      <c r="DJ35" s="186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3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45891</v>
      </c>
      <c r="Q36" s="91">
        <v>45891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186"/>
      <c r="BN36" s="82"/>
      <c r="BO36" s="83"/>
      <c r="BP36" s="82"/>
      <c r="BQ36" s="82"/>
      <c r="BR36" s="82"/>
      <c r="BS36" s="82"/>
      <c r="BT36" s="186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186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82"/>
      <c r="DJ36" s="186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82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3"/>
      <c r="B37" s="76">
        <f t="shared" si="20"/>
        <v>28</v>
      </c>
      <c r="C37" s="93"/>
      <c r="D37" s="93" t="s">
        <v>31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45894</v>
      </c>
      <c r="Q37" s="91">
        <v>45902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186"/>
      <c r="BN37" s="82"/>
      <c r="BO37" s="83"/>
      <c r="BP37" s="82"/>
      <c r="BQ37" s="82"/>
      <c r="BR37" s="82"/>
      <c r="BS37" s="82"/>
      <c r="BT37" s="186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186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82"/>
      <c r="DJ37" s="186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82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23"/>
      <c r="B38" s="76">
        <f t="shared" si="20"/>
        <v>29</v>
      </c>
      <c r="C38" s="93"/>
      <c r="D38" s="93" t="s">
        <v>32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45903</v>
      </c>
      <c r="Q38" s="91">
        <v>45909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186"/>
      <c r="BN38" s="82"/>
      <c r="BO38" s="83"/>
      <c r="BP38" s="82"/>
      <c r="BQ38" s="82"/>
      <c r="BR38" s="82"/>
      <c r="BS38" s="82"/>
      <c r="BT38" s="186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186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82"/>
      <c r="DJ38" s="186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82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6"/>
      <c r="FH38" s="82"/>
      <c r="FI38" s="82"/>
      <c r="FJ38" s="82"/>
      <c r="FK38" s="82"/>
      <c r="FL38" s="82"/>
      <c r="FM38" s="82"/>
      <c r="FN38" s="186"/>
      <c r="FO38" s="199"/>
      <c r="FP38" s="198"/>
      <c r="FQ38" s="186"/>
      <c r="FR38" s="186"/>
      <c r="FS38" s="82"/>
      <c r="FT38" s="82"/>
      <c r="FU38" s="82"/>
      <c r="FV38" s="82"/>
      <c r="FW38" s="82"/>
      <c r="FX38" s="82"/>
      <c r="FY38" s="82"/>
      <c r="FZ38" s="82"/>
      <c r="GA38" s="82"/>
      <c r="GB38" s="186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208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23"/>
      <c r="B39" s="76">
        <f t="shared" si="20"/>
        <v>30</v>
      </c>
      <c r="C39" s="93"/>
      <c r="D39" s="93" t="s">
        <v>33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45910</v>
      </c>
      <c r="Q39" s="91">
        <v>45912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186"/>
      <c r="BN39" s="82"/>
      <c r="BO39" s="83"/>
      <c r="BP39" s="82"/>
      <c r="BQ39" s="82"/>
      <c r="BR39" s="82"/>
      <c r="BS39" s="82"/>
      <c r="BT39" s="186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186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82"/>
      <c r="DJ39" s="186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82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6"/>
      <c r="FH39" s="82"/>
      <c r="FI39" s="82"/>
      <c r="FJ39" s="82"/>
      <c r="FK39" s="82"/>
      <c r="FL39" s="82"/>
      <c r="FM39" s="82"/>
      <c r="FN39" s="186"/>
      <c r="FO39" s="199"/>
      <c r="FP39" s="198"/>
      <c r="FQ39" s="186"/>
      <c r="FR39" s="186"/>
      <c r="FS39" s="82"/>
      <c r="FT39" s="82"/>
      <c r="FU39" s="82"/>
      <c r="FV39" s="82"/>
      <c r="FW39" s="82"/>
      <c r="FX39" s="82"/>
      <c r="FY39" s="82"/>
      <c r="FZ39" s="82"/>
      <c r="GA39" s="82"/>
      <c r="GB39" s="186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208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19" customFormat="1" ht="30" customHeight="1" x14ac:dyDescent="0.15">
      <c r="A40" s="223"/>
      <c r="B40" s="76">
        <f t="shared" si="20"/>
        <v>31</v>
      </c>
      <c r="C40" s="220"/>
      <c r="D40" s="93" t="s">
        <v>34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45916</v>
      </c>
      <c r="Q40" s="91">
        <v>45919</v>
      </c>
      <c r="R40" s="210"/>
      <c r="S40" s="211"/>
      <c r="T40" s="212"/>
      <c r="U40" s="212"/>
      <c r="V40" s="212"/>
      <c r="W40" s="212"/>
      <c r="X40" s="212"/>
      <c r="Y40" s="213"/>
      <c r="Z40" s="213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3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3"/>
      <c r="AX40" s="214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5"/>
      <c r="BN40" s="212"/>
      <c r="BO40" s="213"/>
      <c r="BP40" s="212"/>
      <c r="BQ40" s="212"/>
      <c r="BR40" s="212"/>
      <c r="BS40" s="212"/>
      <c r="BT40" s="215"/>
      <c r="BU40" s="212"/>
      <c r="BV40" s="212"/>
      <c r="BW40" s="212"/>
      <c r="BX40" s="212"/>
      <c r="BY40" s="212"/>
      <c r="BZ40" s="212"/>
      <c r="CA40" s="213"/>
      <c r="CB40" s="214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5"/>
      <c r="CP40" s="212"/>
      <c r="CQ40" s="212"/>
      <c r="CR40" s="212"/>
      <c r="CS40" s="212"/>
      <c r="CT40" s="213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3"/>
      <c r="DG40" s="214"/>
      <c r="DH40" s="212"/>
      <c r="DI40" s="212"/>
      <c r="DJ40" s="215"/>
      <c r="DK40" s="212"/>
      <c r="DL40" s="212"/>
      <c r="DM40" s="212"/>
      <c r="DN40" s="212"/>
      <c r="DO40" s="212"/>
      <c r="DP40" s="212"/>
      <c r="DQ40" s="212"/>
      <c r="DR40" s="212"/>
      <c r="DS40" s="212"/>
      <c r="DT40" s="212"/>
      <c r="DU40" s="212"/>
      <c r="DV40" s="212"/>
      <c r="DW40" s="212"/>
      <c r="DX40" s="212"/>
      <c r="DY40" s="213"/>
      <c r="DZ40" s="212"/>
      <c r="EA40" s="212"/>
      <c r="EB40" s="212"/>
      <c r="EC40" s="212"/>
      <c r="ED40" s="212"/>
      <c r="EE40" s="212"/>
      <c r="EF40" s="212"/>
      <c r="EG40" s="212"/>
      <c r="EH40" s="212"/>
      <c r="EI40" s="212"/>
      <c r="EJ40" s="213"/>
      <c r="EK40" s="214"/>
      <c r="EL40" s="212"/>
      <c r="EM40" s="212"/>
      <c r="EN40" s="212"/>
      <c r="EO40" s="212"/>
      <c r="EP40" s="212"/>
      <c r="EQ40" s="212"/>
      <c r="ER40" s="212"/>
      <c r="ES40" s="212"/>
      <c r="ET40" s="212"/>
      <c r="EU40" s="212"/>
      <c r="EV40" s="212"/>
      <c r="EW40" s="212"/>
      <c r="EX40" s="212"/>
      <c r="EY40" s="212"/>
      <c r="EZ40" s="212"/>
      <c r="FA40" s="212"/>
      <c r="FB40" s="212"/>
      <c r="FC40" s="213"/>
      <c r="FD40" s="212"/>
      <c r="FE40" s="212"/>
      <c r="FF40" s="212"/>
      <c r="FG40" s="215"/>
      <c r="FH40" s="212"/>
      <c r="FI40" s="212"/>
      <c r="FJ40" s="212"/>
      <c r="FK40" s="212"/>
      <c r="FL40" s="212"/>
      <c r="FM40" s="212"/>
      <c r="FN40" s="215"/>
      <c r="FO40" s="216"/>
      <c r="FP40" s="217"/>
      <c r="FQ40" s="215"/>
      <c r="FR40" s="215"/>
      <c r="FS40" s="212"/>
      <c r="FT40" s="212"/>
      <c r="FU40" s="212"/>
      <c r="FV40" s="212"/>
      <c r="FW40" s="212"/>
      <c r="FX40" s="212"/>
      <c r="FY40" s="212"/>
      <c r="FZ40" s="212"/>
      <c r="GA40" s="212"/>
      <c r="GB40" s="215"/>
      <c r="GC40" s="212"/>
      <c r="GD40" s="212"/>
      <c r="GE40" s="212"/>
      <c r="GF40" s="212"/>
      <c r="GG40" s="213"/>
      <c r="GH40" s="212"/>
      <c r="GI40" s="212"/>
      <c r="GJ40" s="212"/>
      <c r="GK40" s="212"/>
      <c r="GL40" s="212"/>
      <c r="GM40" s="212"/>
      <c r="GN40" s="212"/>
      <c r="GO40" s="212"/>
      <c r="GP40" s="212"/>
      <c r="GQ40" s="212"/>
      <c r="GR40" s="212"/>
      <c r="GS40" s="212"/>
      <c r="GT40" s="213"/>
      <c r="GU40" s="218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J40" s="213"/>
      <c r="HK40" s="212"/>
      <c r="HL40" s="212"/>
      <c r="HM40" s="212"/>
      <c r="HN40" s="212"/>
      <c r="HO40" s="212"/>
      <c r="HP40" s="212"/>
      <c r="HQ40" s="212"/>
      <c r="HR40" s="212"/>
      <c r="HS40" s="212"/>
      <c r="HT40" s="212"/>
      <c r="HU40" s="212"/>
      <c r="HV40" s="212"/>
    </row>
    <row r="41" spans="1:230" s="219" customFormat="1" ht="30" customHeight="1" x14ac:dyDescent="0.15">
      <c r="A41" s="223"/>
      <c r="B41" s="76">
        <f t="shared" si="20"/>
        <v>32</v>
      </c>
      <c r="C41" s="220"/>
      <c r="D41" s="93" t="s">
        <v>35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45924</v>
      </c>
      <c r="Q41" s="91">
        <v>45930</v>
      </c>
      <c r="R41" s="210"/>
      <c r="S41" s="211"/>
      <c r="T41" s="212"/>
      <c r="U41" s="212"/>
      <c r="V41" s="212"/>
      <c r="W41" s="212"/>
      <c r="X41" s="212"/>
      <c r="Y41" s="213"/>
      <c r="Z41" s="213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3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3"/>
      <c r="AX41" s="214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5"/>
      <c r="BN41" s="212"/>
      <c r="BO41" s="213"/>
      <c r="BP41" s="212"/>
      <c r="BQ41" s="212"/>
      <c r="BR41" s="212"/>
      <c r="BS41" s="212"/>
      <c r="BT41" s="215"/>
      <c r="BU41" s="212"/>
      <c r="BV41" s="212"/>
      <c r="BW41" s="212"/>
      <c r="BX41" s="212"/>
      <c r="BY41" s="212"/>
      <c r="BZ41" s="212"/>
      <c r="CA41" s="213"/>
      <c r="CB41" s="214"/>
      <c r="CC41" s="212"/>
      <c r="CD41" s="212"/>
      <c r="CE41" s="212"/>
      <c r="CF41" s="212"/>
      <c r="CG41" s="212"/>
      <c r="CH41" s="212"/>
      <c r="CI41" s="212"/>
      <c r="CJ41" s="212"/>
      <c r="CK41" s="212"/>
      <c r="CL41" s="212"/>
      <c r="CM41" s="212"/>
      <c r="CN41" s="212"/>
      <c r="CO41" s="215"/>
      <c r="CP41" s="212"/>
      <c r="CQ41" s="212"/>
      <c r="CR41" s="212"/>
      <c r="CS41" s="212"/>
      <c r="CT41" s="213"/>
      <c r="CU41" s="212"/>
      <c r="CV41" s="212"/>
      <c r="CW41" s="212"/>
      <c r="CX41" s="212"/>
      <c r="CY41" s="212"/>
      <c r="CZ41" s="212"/>
      <c r="DA41" s="212"/>
      <c r="DB41" s="212"/>
      <c r="DC41" s="212"/>
      <c r="DD41" s="212"/>
      <c r="DE41" s="212"/>
      <c r="DF41" s="213"/>
      <c r="DG41" s="214"/>
      <c r="DH41" s="212"/>
      <c r="DI41" s="212"/>
      <c r="DJ41" s="215"/>
      <c r="DK41" s="212"/>
      <c r="DL41" s="212"/>
      <c r="DM41" s="212"/>
      <c r="DN41" s="212"/>
      <c r="DO41" s="212"/>
      <c r="DP41" s="212"/>
      <c r="DQ41" s="212"/>
      <c r="DR41" s="212"/>
      <c r="DS41" s="212"/>
      <c r="DT41" s="212"/>
      <c r="DU41" s="212"/>
      <c r="DV41" s="212"/>
      <c r="DW41" s="212"/>
      <c r="DX41" s="212"/>
      <c r="DY41" s="213"/>
      <c r="DZ41" s="212"/>
      <c r="EA41" s="212"/>
      <c r="EB41" s="212"/>
      <c r="EC41" s="212"/>
      <c r="ED41" s="212"/>
      <c r="EE41" s="212"/>
      <c r="EF41" s="212"/>
      <c r="EG41" s="212"/>
      <c r="EH41" s="212"/>
      <c r="EI41" s="212"/>
      <c r="EJ41" s="213"/>
      <c r="EK41" s="214"/>
      <c r="EL41" s="212"/>
      <c r="EM41" s="212"/>
      <c r="EN41" s="212"/>
      <c r="EO41" s="212"/>
      <c r="EP41" s="212"/>
      <c r="EQ41" s="212"/>
      <c r="ER41" s="212"/>
      <c r="ES41" s="212"/>
      <c r="ET41" s="212"/>
      <c r="EU41" s="212"/>
      <c r="EV41" s="212"/>
      <c r="EW41" s="212"/>
      <c r="EX41" s="212"/>
      <c r="EY41" s="212"/>
      <c r="EZ41" s="212"/>
      <c r="FA41" s="212"/>
      <c r="FB41" s="212"/>
      <c r="FC41" s="213"/>
      <c r="FD41" s="212"/>
      <c r="FE41" s="212"/>
      <c r="FF41" s="212"/>
      <c r="FG41" s="215"/>
      <c r="FH41" s="212"/>
      <c r="FI41" s="212"/>
      <c r="FJ41" s="212"/>
      <c r="FK41" s="212"/>
      <c r="FL41" s="212"/>
      <c r="FM41" s="212"/>
      <c r="FN41" s="215"/>
      <c r="FO41" s="216"/>
      <c r="FP41" s="217"/>
      <c r="FQ41" s="215"/>
      <c r="FR41" s="215"/>
      <c r="FS41" s="212"/>
      <c r="FT41" s="212"/>
      <c r="FU41" s="212"/>
      <c r="FV41" s="212"/>
      <c r="FW41" s="212"/>
      <c r="FX41" s="212"/>
      <c r="FY41" s="212"/>
      <c r="FZ41" s="212"/>
      <c r="GA41" s="212"/>
      <c r="GB41" s="215"/>
      <c r="GC41" s="212"/>
      <c r="GD41" s="212"/>
      <c r="GE41" s="212"/>
      <c r="GF41" s="212"/>
      <c r="GG41" s="213"/>
      <c r="GH41" s="212"/>
      <c r="GI41" s="212"/>
      <c r="GJ41" s="212"/>
      <c r="GK41" s="212"/>
      <c r="GL41" s="212"/>
      <c r="GM41" s="212"/>
      <c r="GN41" s="212"/>
      <c r="GO41" s="212"/>
      <c r="GP41" s="212"/>
      <c r="GQ41" s="212"/>
      <c r="GR41" s="212"/>
      <c r="GS41" s="212"/>
      <c r="GT41" s="213"/>
      <c r="GU41" s="218"/>
      <c r="GV41" s="212"/>
      <c r="GW41" s="212"/>
      <c r="GX41" s="212"/>
      <c r="GY41" s="212"/>
      <c r="GZ41" s="212"/>
      <c r="HA41" s="212"/>
      <c r="HB41" s="212"/>
      <c r="HC41" s="212"/>
      <c r="HD41" s="212"/>
      <c r="HE41" s="212"/>
      <c r="HF41" s="212"/>
      <c r="HG41" s="212"/>
      <c r="HH41" s="212"/>
      <c r="HI41" s="212"/>
      <c r="HJ41" s="213"/>
      <c r="HK41" s="212"/>
      <c r="HL41" s="212"/>
      <c r="HM41" s="212"/>
      <c r="HN41" s="212"/>
      <c r="HO41" s="212"/>
      <c r="HP41" s="212"/>
      <c r="HQ41" s="212"/>
      <c r="HR41" s="212"/>
      <c r="HS41" s="212"/>
      <c r="HT41" s="212"/>
      <c r="HU41" s="212"/>
      <c r="HV41" s="212"/>
    </row>
    <row r="42" spans="1:230" s="219" customFormat="1" ht="30" customHeight="1" x14ac:dyDescent="0.15">
      <c r="A42" s="223"/>
      <c r="B42" s="76"/>
      <c r="C42" s="220"/>
      <c r="D42" s="93" t="s">
        <v>49</v>
      </c>
      <c r="E42" s="93"/>
      <c r="F42" s="168"/>
      <c r="G42" s="96"/>
      <c r="H42" s="164"/>
      <c r="I42" s="163"/>
      <c r="J42" s="77"/>
      <c r="K42" s="77" t="s">
        <v>46</v>
      </c>
      <c r="L42" s="85"/>
      <c r="M42" s="78"/>
      <c r="N42" s="91"/>
      <c r="O42" s="86">
        <v>0</v>
      </c>
      <c r="P42" s="78"/>
      <c r="Q42" s="91"/>
      <c r="R42" s="210"/>
      <c r="S42" s="211"/>
      <c r="T42" s="212"/>
      <c r="U42" s="212"/>
      <c r="V42" s="212"/>
      <c r="W42" s="212"/>
      <c r="X42" s="212"/>
      <c r="Y42" s="213"/>
      <c r="Z42" s="213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3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3"/>
      <c r="AX42" s="214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12"/>
      <c r="BM42" s="215"/>
      <c r="BN42" s="212"/>
      <c r="BO42" s="213"/>
      <c r="BP42" s="212"/>
      <c r="BQ42" s="212"/>
      <c r="BR42" s="212"/>
      <c r="BS42" s="212"/>
      <c r="BT42" s="215"/>
      <c r="BU42" s="212"/>
      <c r="BV42" s="212"/>
      <c r="BW42" s="212"/>
      <c r="BX42" s="212"/>
      <c r="BY42" s="212"/>
      <c r="BZ42" s="212"/>
      <c r="CA42" s="213"/>
      <c r="CB42" s="214"/>
      <c r="CC42" s="212"/>
      <c r="CD42" s="212"/>
      <c r="CE42" s="212"/>
      <c r="CF42" s="212"/>
      <c r="CG42" s="212"/>
      <c r="CH42" s="212"/>
      <c r="CI42" s="212"/>
      <c r="CJ42" s="212"/>
      <c r="CK42" s="212"/>
      <c r="CL42" s="212"/>
      <c r="CM42" s="212"/>
      <c r="CN42" s="212"/>
      <c r="CO42" s="215"/>
      <c r="CP42" s="212"/>
      <c r="CQ42" s="212"/>
      <c r="CR42" s="212"/>
      <c r="CS42" s="212"/>
      <c r="CT42" s="213"/>
      <c r="CU42" s="212"/>
      <c r="CV42" s="212"/>
      <c r="CW42" s="212"/>
      <c r="CX42" s="212"/>
      <c r="CY42" s="212"/>
      <c r="CZ42" s="212"/>
      <c r="DA42" s="212"/>
      <c r="DB42" s="212"/>
      <c r="DC42" s="212"/>
      <c r="DD42" s="212"/>
      <c r="DE42" s="212"/>
      <c r="DF42" s="213"/>
      <c r="DG42" s="214"/>
      <c r="DH42" s="212"/>
      <c r="DI42" s="212"/>
      <c r="DJ42" s="215"/>
      <c r="DK42" s="212"/>
      <c r="DL42" s="212"/>
      <c r="DM42" s="212"/>
      <c r="DN42" s="212"/>
      <c r="DO42" s="212"/>
      <c r="DP42" s="212"/>
      <c r="DQ42" s="212"/>
      <c r="DR42" s="212"/>
      <c r="DS42" s="212"/>
      <c r="DT42" s="212"/>
      <c r="DU42" s="212"/>
      <c r="DV42" s="212"/>
      <c r="DW42" s="212"/>
      <c r="DX42" s="212"/>
      <c r="DY42" s="213"/>
      <c r="DZ42" s="212"/>
      <c r="EA42" s="212"/>
      <c r="EB42" s="212"/>
      <c r="EC42" s="212"/>
      <c r="ED42" s="212"/>
      <c r="EE42" s="212"/>
      <c r="EF42" s="212"/>
      <c r="EG42" s="212"/>
      <c r="EH42" s="212"/>
      <c r="EI42" s="212"/>
      <c r="EJ42" s="213"/>
      <c r="EK42" s="214"/>
      <c r="EL42" s="212"/>
      <c r="EM42" s="212"/>
      <c r="EN42" s="212"/>
      <c r="EO42" s="212"/>
      <c r="EP42" s="212"/>
      <c r="EQ42" s="212"/>
      <c r="ER42" s="212"/>
      <c r="ES42" s="212"/>
      <c r="ET42" s="212"/>
      <c r="EU42" s="212"/>
      <c r="EV42" s="212"/>
      <c r="EW42" s="212"/>
      <c r="EX42" s="212"/>
      <c r="EY42" s="212"/>
      <c r="EZ42" s="212"/>
      <c r="FA42" s="212"/>
      <c r="FB42" s="212"/>
      <c r="FC42" s="213"/>
      <c r="FD42" s="212"/>
      <c r="FE42" s="212"/>
      <c r="FF42" s="212"/>
      <c r="FG42" s="215"/>
      <c r="FH42" s="212"/>
      <c r="FI42" s="212"/>
      <c r="FJ42" s="212"/>
      <c r="FK42" s="212"/>
      <c r="FL42" s="212"/>
      <c r="FM42" s="212"/>
      <c r="FN42" s="215"/>
      <c r="FO42" s="216"/>
      <c r="FP42" s="217"/>
      <c r="FQ42" s="215"/>
      <c r="FR42" s="215"/>
      <c r="FS42" s="212"/>
      <c r="FT42" s="212"/>
      <c r="FU42" s="212"/>
      <c r="FV42" s="212"/>
      <c r="FW42" s="212"/>
      <c r="FX42" s="212"/>
      <c r="FY42" s="212"/>
      <c r="FZ42" s="212"/>
      <c r="GA42" s="212"/>
      <c r="GB42" s="215"/>
      <c r="GC42" s="212"/>
      <c r="GD42" s="212"/>
      <c r="GE42" s="212"/>
      <c r="GF42" s="212"/>
      <c r="GG42" s="213"/>
      <c r="GH42" s="212"/>
      <c r="GI42" s="212"/>
      <c r="GJ42" s="212"/>
      <c r="GK42" s="212"/>
      <c r="GL42" s="212"/>
      <c r="GM42" s="212"/>
      <c r="GN42" s="212"/>
      <c r="GO42" s="212"/>
      <c r="GP42" s="212"/>
      <c r="GQ42" s="212"/>
      <c r="GR42" s="212"/>
      <c r="GS42" s="212"/>
      <c r="GT42" s="213"/>
      <c r="GU42" s="218"/>
      <c r="GV42" s="212"/>
      <c r="GW42" s="212"/>
      <c r="GX42" s="212"/>
      <c r="GY42" s="212"/>
      <c r="GZ42" s="212"/>
      <c r="HA42" s="212"/>
      <c r="HB42" s="212"/>
      <c r="HC42" s="212"/>
      <c r="HD42" s="212"/>
      <c r="HE42" s="212"/>
      <c r="HF42" s="212"/>
      <c r="HG42" s="212"/>
      <c r="HH42" s="212"/>
      <c r="HI42" s="212"/>
      <c r="HJ42" s="213"/>
      <c r="HK42" s="212"/>
      <c r="HL42" s="212"/>
      <c r="HM42" s="212"/>
      <c r="HN42" s="212"/>
      <c r="HO42" s="212"/>
      <c r="HP42" s="212"/>
      <c r="HQ42" s="212"/>
      <c r="HR42" s="212"/>
      <c r="HS42" s="212"/>
      <c r="HT42" s="212"/>
      <c r="HU42" s="212"/>
      <c r="HV42" s="212"/>
    </row>
    <row r="43" spans="1:230" ht="30" customHeight="1" x14ac:dyDescent="0.15">
      <c r="A43" s="223"/>
      <c r="B43" s="76">
        <f t="shared" si="20"/>
        <v>34</v>
      </c>
      <c r="C43" s="97"/>
      <c r="D43" s="234"/>
      <c r="E43" s="97"/>
      <c r="F43" s="95"/>
      <c r="G43" s="96"/>
      <c r="H43" s="164"/>
      <c r="I43" s="163"/>
      <c r="J43" s="77"/>
      <c r="K43" s="77"/>
      <c r="L43" s="85"/>
      <c r="M43" s="78"/>
      <c r="N43" s="91"/>
      <c r="O43" s="86">
        <v>0</v>
      </c>
      <c r="P43" s="78"/>
      <c r="Q43" s="79"/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186"/>
      <c r="BN43" s="82"/>
      <c r="BO43" s="83"/>
      <c r="BP43" s="82"/>
      <c r="BQ43" s="82"/>
      <c r="BR43" s="82"/>
      <c r="BS43" s="82"/>
      <c r="BT43" s="186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186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82"/>
      <c r="DJ43" s="186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82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3"/>
      <c r="B44" s="76">
        <f t="shared" si="20"/>
        <v>35</v>
      </c>
      <c r="C44" s="93" t="s">
        <v>42</v>
      </c>
      <c r="D44" s="5"/>
      <c r="E44" s="93"/>
      <c r="F44" s="168"/>
      <c r="G44" s="226" t="s">
        <v>47</v>
      </c>
      <c r="H44" s="227"/>
      <c r="I44" s="228"/>
      <c r="J44" s="229" t="s">
        <v>45</v>
      </c>
      <c r="K44" s="229" t="s">
        <v>46</v>
      </c>
      <c r="L44" s="230"/>
      <c r="M44" s="231"/>
      <c r="N44" s="232"/>
      <c r="O44" s="233">
        <v>0</v>
      </c>
      <c r="P44" s="231">
        <v>45936</v>
      </c>
      <c r="Q44" s="232">
        <v>45962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186"/>
      <c r="BN44" s="82"/>
      <c r="BO44" s="83"/>
      <c r="BP44" s="82"/>
      <c r="BQ44" s="82"/>
      <c r="BR44" s="82"/>
      <c r="BS44" s="82"/>
      <c r="BT44" s="186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186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82"/>
      <c r="DJ44" s="186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82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B45" s="76">
        <f t="shared" si="20"/>
        <v>36</v>
      </c>
      <c r="C45" s="93"/>
      <c r="D45" s="93"/>
      <c r="E45" s="93"/>
      <c r="F45" s="168"/>
      <c r="G45" s="96"/>
      <c r="H45" s="164"/>
      <c r="I45" s="163"/>
      <c r="J45" s="77"/>
      <c r="K45" s="77" t="s">
        <v>46</v>
      </c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186"/>
      <c r="BN45" s="82"/>
      <c r="BO45" s="83"/>
      <c r="BP45" s="82"/>
      <c r="BQ45" s="82"/>
      <c r="BR45" s="82"/>
      <c r="BS45" s="82"/>
      <c r="BT45" s="186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186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82"/>
      <c r="DJ45" s="186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82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B46" s="76">
        <f t="shared" si="20"/>
        <v>37</v>
      </c>
      <c r="C46" s="93"/>
      <c r="D46" s="93"/>
      <c r="E46" s="93"/>
      <c r="F46" s="168"/>
      <c r="G46" s="96" t="s">
        <v>48</v>
      </c>
      <c r="H46" s="164"/>
      <c r="I46" s="163"/>
      <c r="J46" s="77" t="s">
        <v>45</v>
      </c>
      <c r="K46" s="77" t="s">
        <v>46</v>
      </c>
      <c r="L46" s="85"/>
      <c r="M46" s="78"/>
      <c r="N46" s="91"/>
      <c r="O46" s="86">
        <v>0</v>
      </c>
      <c r="P46" s="78">
        <v>45962</v>
      </c>
      <c r="Q46" s="91">
        <v>45975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186"/>
      <c r="BN46" s="82"/>
      <c r="BO46" s="83"/>
      <c r="BP46" s="82"/>
      <c r="BQ46" s="82"/>
      <c r="BR46" s="82"/>
      <c r="BS46" s="82"/>
      <c r="BT46" s="186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186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82"/>
      <c r="DJ46" s="186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82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1"/>
      <c r="B47" s="76">
        <f t="shared" si="20"/>
        <v>38</v>
      </c>
      <c r="C47" s="93"/>
      <c r="D47" s="94"/>
      <c r="E47" s="94"/>
      <c r="F47" s="95"/>
      <c r="G47" s="96"/>
      <c r="H47" s="164"/>
      <c r="I47" s="163"/>
      <c r="J47" s="77"/>
      <c r="K47" s="77"/>
      <c r="L47" s="85"/>
      <c r="M47" s="78"/>
      <c r="N47" s="91"/>
      <c r="O47" s="86">
        <v>0</v>
      </c>
      <c r="P47" s="78"/>
      <c r="Q47" s="91"/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186"/>
      <c r="BN47" s="82"/>
      <c r="BO47" s="83"/>
      <c r="BP47" s="82"/>
      <c r="BQ47" s="82"/>
      <c r="BR47" s="82"/>
      <c r="BS47" s="82"/>
      <c r="BT47" s="186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186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82"/>
      <c r="DJ47" s="186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82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A48" s="223"/>
      <c r="B48" s="76">
        <f t="shared" si="20"/>
        <v>39</v>
      </c>
      <c r="C48" s="93"/>
      <c r="D48" s="94"/>
      <c r="E48" s="168"/>
      <c r="F48" s="95"/>
      <c r="G48" s="96"/>
      <c r="H48" s="164"/>
      <c r="I48" s="163"/>
      <c r="J48" s="77"/>
      <c r="K48" s="77"/>
      <c r="L48" s="85"/>
      <c r="M48" s="78"/>
      <c r="N48" s="91"/>
      <c r="O48" s="86">
        <v>0</v>
      </c>
      <c r="P48" s="78"/>
      <c r="Q48" s="91"/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186"/>
      <c r="BN48" s="82"/>
      <c r="BO48" s="83"/>
      <c r="BP48" s="82"/>
      <c r="BQ48" s="82"/>
      <c r="BR48" s="82"/>
      <c r="BS48" s="82"/>
      <c r="BT48" s="186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186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82"/>
      <c r="DJ48" s="186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82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6"/>
      <c r="FH48" s="82"/>
      <c r="FI48" s="82"/>
      <c r="FJ48" s="82"/>
      <c r="FK48" s="82"/>
      <c r="FL48" s="82"/>
      <c r="FM48" s="82"/>
      <c r="FN48" s="186"/>
      <c r="FO48" s="199"/>
      <c r="FP48" s="198"/>
      <c r="FQ48" s="186"/>
      <c r="FR48" s="186"/>
      <c r="FS48" s="82"/>
      <c r="FT48" s="82"/>
      <c r="FU48" s="82"/>
      <c r="FV48" s="82"/>
      <c r="FW48" s="82"/>
      <c r="FX48" s="82"/>
      <c r="FY48" s="82"/>
      <c r="FZ48" s="82"/>
      <c r="GA48" s="82"/>
      <c r="GB48" s="186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208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21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186"/>
      <c r="BN49" s="82"/>
      <c r="BO49" s="83"/>
      <c r="BP49" s="82"/>
      <c r="BQ49" s="82"/>
      <c r="BR49" s="82"/>
      <c r="BS49" s="82"/>
      <c r="BT49" s="186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186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82"/>
      <c r="DJ49" s="186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82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2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/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186"/>
      <c r="BN50" s="82"/>
      <c r="BO50" s="83"/>
      <c r="BP50" s="82"/>
      <c r="BQ50" s="82"/>
      <c r="BR50" s="82"/>
      <c r="BS50" s="82"/>
      <c r="BT50" s="186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186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82"/>
      <c r="DJ50" s="186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82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19" customFormat="1" ht="30" customHeight="1" x14ac:dyDescent="0.15">
      <c r="A51" s="221"/>
      <c r="B51" s="76">
        <f t="shared" si="20"/>
        <v>42</v>
      </c>
      <c r="C51" s="236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45978</v>
      </c>
      <c r="Q51" s="91">
        <v>46017</v>
      </c>
      <c r="R51" s="210"/>
      <c r="S51" s="211"/>
      <c r="T51" s="212"/>
      <c r="U51" s="212"/>
      <c r="V51" s="212"/>
      <c r="W51" s="212"/>
      <c r="X51" s="212"/>
      <c r="Y51" s="213"/>
      <c r="Z51" s="213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3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3"/>
      <c r="AX51" s="214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5"/>
      <c r="BN51" s="212"/>
      <c r="BO51" s="213"/>
      <c r="BP51" s="212"/>
      <c r="BQ51" s="212"/>
      <c r="BR51" s="212"/>
      <c r="BS51" s="212"/>
      <c r="BT51" s="215"/>
      <c r="BU51" s="212"/>
      <c r="BV51" s="212"/>
      <c r="BW51" s="212"/>
      <c r="BX51" s="212"/>
      <c r="BY51" s="212"/>
      <c r="BZ51" s="212"/>
      <c r="CA51" s="213"/>
      <c r="CB51" s="214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5"/>
      <c r="CP51" s="212"/>
      <c r="CQ51" s="212"/>
      <c r="CR51" s="212"/>
      <c r="CS51" s="212"/>
      <c r="CT51" s="213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3"/>
      <c r="DG51" s="214"/>
      <c r="DH51" s="212"/>
      <c r="DI51" s="212"/>
      <c r="DJ51" s="215"/>
      <c r="DK51" s="212"/>
      <c r="DL51" s="212"/>
      <c r="DM51" s="212"/>
      <c r="DN51" s="212"/>
      <c r="DO51" s="212"/>
      <c r="DP51" s="212"/>
      <c r="DQ51" s="212"/>
      <c r="DR51" s="212"/>
      <c r="DS51" s="212"/>
      <c r="DT51" s="212"/>
      <c r="DU51" s="212"/>
      <c r="DV51" s="212"/>
      <c r="DW51" s="212"/>
      <c r="DX51" s="212"/>
      <c r="DY51" s="213"/>
      <c r="DZ51" s="212"/>
      <c r="EA51" s="212"/>
      <c r="EB51" s="212"/>
      <c r="EC51" s="212"/>
      <c r="ED51" s="212"/>
      <c r="EE51" s="212"/>
      <c r="EF51" s="212"/>
      <c r="EG51" s="212"/>
      <c r="EH51" s="212"/>
      <c r="EI51" s="212"/>
      <c r="EJ51" s="213"/>
      <c r="EK51" s="214"/>
      <c r="EL51" s="212"/>
      <c r="EM51" s="212"/>
      <c r="EN51" s="212"/>
      <c r="EO51" s="212"/>
      <c r="EP51" s="212"/>
      <c r="EQ51" s="212"/>
      <c r="ER51" s="212"/>
      <c r="ES51" s="212"/>
      <c r="ET51" s="212"/>
      <c r="EU51" s="212"/>
      <c r="EV51" s="212"/>
      <c r="EW51" s="212"/>
      <c r="EX51" s="212"/>
      <c r="EY51" s="212"/>
      <c r="EZ51" s="212"/>
      <c r="FA51" s="212"/>
      <c r="FB51" s="212"/>
      <c r="FC51" s="213"/>
      <c r="FD51" s="212"/>
      <c r="FE51" s="212"/>
      <c r="FF51" s="212"/>
      <c r="FG51" s="215"/>
      <c r="FH51" s="212"/>
      <c r="FI51" s="212"/>
      <c r="FJ51" s="212"/>
      <c r="FK51" s="212"/>
      <c r="FL51" s="212"/>
      <c r="FM51" s="212"/>
      <c r="FN51" s="215"/>
      <c r="FO51" s="216"/>
      <c r="FP51" s="217"/>
      <c r="FQ51" s="215"/>
      <c r="FR51" s="215"/>
      <c r="FS51" s="212"/>
      <c r="FT51" s="212"/>
      <c r="FU51" s="212"/>
      <c r="FV51" s="212"/>
      <c r="FW51" s="212"/>
      <c r="FX51" s="212"/>
      <c r="FY51" s="212"/>
      <c r="FZ51" s="212"/>
      <c r="GA51" s="212"/>
      <c r="GB51" s="215"/>
      <c r="GC51" s="212"/>
      <c r="GD51" s="212"/>
      <c r="GE51" s="212"/>
      <c r="GF51" s="212"/>
      <c r="GG51" s="213"/>
      <c r="GH51" s="212"/>
      <c r="GI51" s="212"/>
      <c r="GJ51" s="212"/>
      <c r="GK51" s="212"/>
      <c r="GL51" s="212"/>
      <c r="GM51" s="212"/>
      <c r="GN51" s="212"/>
      <c r="GO51" s="212"/>
      <c r="GP51" s="212"/>
      <c r="GQ51" s="212"/>
      <c r="GR51" s="212"/>
      <c r="GS51" s="212"/>
      <c r="GT51" s="213"/>
      <c r="GU51" s="218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J51" s="213"/>
      <c r="HK51" s="212"/>
      <c r="HL51" s="212"/>
      <c r="HM51" s="212"/>
      <c r="HN51" s="212"/>
      <c r="HO51" s="212"/>
      <c r="HP51" s="212"/>
      <c r="HQ51" s="212"/>
      <c r="HR51" s="212"/>
      <c r="HS51" s="212"/>
      <c r="HT51" s="212"/>
      <c r="HU51" s="212"/>
      <c r="HV51" s="212"/>
    </row>
    <row r="52" spans="1:230" ht="30" customHeight="1" x14ac:dyDescent="0.15">
      <c r="A52" s="222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/>
      <c r="K52" s="77"/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186"/>
      <c r="BN52" s="82"/>
      <c r="BO52" s="83"/>
      <c r="BP52" s="82"/>
      <c r="BQ52" s="82"/>
      <c r="BR52" s="82"/>
      <c r="BS52" s="82"/>
      <c r="BT52" s="186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186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82"/>
      <c r="DJ52" s="186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30" customHeight="1" x14ac:dyDescent="0.15">
      <c r="A53" s="221"/>
      <c r="B53" s="76">
        <f t="shared" si="20"/>
        <v>44</v>
      </c>
      <c r="C53" s="179"/>
      <c r="D53" s="93"/>
      <c r="E53" s="94"/>
      <c r="F53" s="235"/>
      <c r="G53" s="226"/>
      <c r="H53" s="183"/>
      <c r="I53" s="182"/>
      <c r="J53" s="77"/>
      <c r="K53" s="77"/>
      <c r="L53" s="77"/>
      <c r="M53" s="78"/>
      <c r="N53" s="91"/>
      <c r="O53" s="86">
        <v>0</v>
      </c>
      <c r="P53" s="78"/>
      <c r="Q53" s="91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186"/>
      <c r="BN53" s="82"/>
      <c r="BO53" s="83"/>
      <c r="BP53" s="82"/>
      <c r="BQ53" s="82"/>
      <c r="BR53" s="82"/>
      <c r="BS53" s="82"/>
      <c r="BT53" s="186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186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82"/>
      <c r="DJ53" s="186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22.5" customHeight="1" x14ac:dyDescent="0.15">
      <c r="A54" s="58">
        <v>1</v>
      </c>
      <c r="B54" s="76">
        <f t="shared" si="20"/>
        <v>45</v>
      </c>
      <c r="C54" s="179"/>
      <c r="D54" s="169"/>
      <c r="E54" s="170"/>
      <c r="F54" s="180"/>
      <c r="G54" s="96"/>
      <c r="H54" s="181"/>
      <c r="I54" s="182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82"/>
      <c r="BM54" s="186"/>
      <c r="BN54" s="82"/>
      <c r="BO54" s="83"/>
      <c r="BP54" s="82"/>
      <c r="BQ54" s="82"/>
      <c r="BR54" s="82"/>
      <c r="BS54" s="82"/>
      <c r="BT54" s="186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186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82"/>
      <c r="DJ54" s="186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82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6"/>
      <c r="FH54" s="82"/>
      <c r="FI54" s="82"/>
      <c r="FJ54" s="82"/>
      <c r="FK54" s="82"/>
      <c r="FL54" s="82"/>
      <c r="FM54" s="82"/>
      <c r="FN54" s="186"/>
      <c r="FO54" s="199"/>
      <c r="FP54" s="198"/>
      <c r="FQ54" s="186"/>
      <c r="FR54" s="186"/>
      <c r="FS54" s="82"/>
      <c r="FT54" s="82"/>
      <c r="FU54" s="82"/>
      <c r="FV54" s="82"/>
      <c r="FW54" s="82"/>
      <c r="FX54" s="82"/>
      <c r="FY54" s="82"/>
      <c r="FZ54" s="82"/>
      <c r="GA54" s="82"/>
      <c r="GB54" s="186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208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4"/>
      <c r="D55" s="97"/>
      <c r="E55" s="97"/>
      <c r="F55" s="97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8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82"/>
      <c r="BM55" s="186"/>
      <c r="BN55" s="82"/>
      <c r="BO55" s="83"/>
      <c r="BP55" s="82"/>
      <c r="BQ55" s="82"/>
      <c r="BR55" s="82"/>
      <c r="BS55" s="82"/>
      <c r="BT55" s="186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186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82"/>
      <c r="DJ55" s="186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82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6"/>
      <c r="FH55" s="82"/>
      <c r="FI55" s="82"/>
      <c r="FJ55" s="82"/>
      <c r="FK55" s="82"/>
      <c r="FL55" s="82"/>
      <c r="FM55" s="82"/>
      <c r="FN55" s="186"/>
      <c r="FO55" s="199"/>
      <c r="FP55" s="198"/>
      <c r="FQ55" s="186"/>
      <c r="FR55" s="186"/>
      <c r="FS55" s="82"/>
      <c r="FT55" s="82"/>
      <c r="FU55" s="82"/>
      <c r="FV55" s="82"/>
      <c r="FW55" s="82"/>
      <c r="FX55" s="82"/>
      <c r="FY55" s="82"/>
      <c r="FZ55" s="82"/>
      <c r="GA55" s="82"/>
      <c r="GB55" s="186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208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4.25" x14ac:dyDescent="0.15">
      <c r="B56" s="76"/>
      <c r="C56" s="97"/>
      <c r="D56" s="95"/>
      <c r="E56" s="95"/>
      <c r="F56" s="95"/>
      <c r="G56" s="96"/>
      <c r="H56" s="164"/>
      <c r="I56" s="163"/>
      <c r="J56" s="77"/>
      <c r="K56" s="77"/>
      <c r="L56" s="77"/>
      <c r="M56" s="78"/>
      <c r="N56" s="91"/>
      <c r="O56" s="86"/>
      <c r="P56" s="78"/>
      <c r="Q56" s="79"/>
      <c r="R56" s="80"/>
      <c r="S56" s="81"/>
      <c r="T56" s="82"/>
      <c r="U56" s="82"/>
      <c r="V56" s="82"/>
      <c r="W56" s="82"/>
      <c r="X56" s="82"/>
      <c r="Y56" s="83"/>
      <c r="Z56" s="83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3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3"/>
      <c r="AX56" s="84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82"/>
      <c r="BM56" s="186"/>
      <c r="BN56" s="82"/>
      <c r="BO56" s="83"/>
      <c r="BP56" s="82"/>
      <c r="BQ56" s="82"/>
      <c r="BR56" s="82"/>
      <c r="BS56" s="82"/>
      <c r="BT56" s="186"/>
      <c r="BU56" s="82"/>
      <c r="BV56" s="82"/>
      <c r="BW56" s="82"/>
      <c r="BX56" s="82"/>
      <c r="BY56" s="82"/>
      <c r="BZ56" s="82"/>
      <c r="CA56" s="83"/>
      <c r="CB56" s="84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186"/>
      <c r="CP56" s="82"/>
      <c r="CQ56" s="82"/>
      <c r="CR56" s="82"/>
      <c r="CS56" s="82"/>
      <c r="CT56" s="83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3"/>
      <c r="DG56" s="84"/>
      <c r="DH56" s="82"/>
      <c r="DI56" s="82"/>
      <c r="DJ56" s="186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3"/>
      <c r="DZ56" s="82"/>
      <c r="EA56" s="82"/>
      <c r="EB56" s="82"/>
      <c r="EC56" s="82"/>
      <c r="ED56" s="82"/>
      <c r="EE56" s="82"/>
      <c r="EF56" s="82"/>
      <c r="EG56" s="82"/>
      <c r="EH56" s="82"/>
      <c r="EI56" s="82"/>
      <c r="EJ56" s="83"/>
      <c r="EK56" s="84"/>
      <c r="EL56" s="82"/>
      <c r="EM56" s="82"/>
      <c r="EN56" s="82"/>
      <c r="EO56" s="82"/>
      <c r="EP56" s="82"/>
      <c r="EQ56" s="82"/>
      <c r="ER56" s="82"/>
      <c r="ES56" s="82"/>
      <c r="ET56" s="82"/>
      <c r="EU56" s="82"/>
      <c r="EV56" s="82"/>
      <c r="EW56" s="82"/>
      <c r="EX56" s="82"/>
      <c r="EY56" s="82"/>
      <c r="EZ56" s="82"/>
      <c r="FA56" s="82"/>
      <c r="FB56" s="82"/>
      <c r="FC56" s="83"/>
      <c r="FD56" s="82"/>
      <c r="FE56" s="82"/>
      <c r="FF56" s="82"/>
      <c r="FG56" s="186"/>
      <c r="FH56" s="82"/>
      <c r="FI56" s="82"/>
      <c r="FJ56" s="82"/>
      <c r="FK56" s="82"/>
      <c r="FL56" s="82"/>
      <c r="FM56" s="82"/>
      <c r="FN56" s="186"/>
      <c r="FO56" s="199"/>
      <c r="FP56" s="198"/>
      <c r="FQ56" s="186"/>
      <c r="FR56" s="186"/>
      <c r="FS56" s="82"/>
      <c r="FT56" s="82"/>
      <c r="FU56" s="82"/>
      <c r="FV56" s="82"/>
      <c r="FW56" s="82"/>
      <c r="FX56" s="82"/>
      <c r="FY56" s="82"/>
      <c r="FZ56" s="82"/>
      <c r="GA56" s="82"/>
      <c r="GB56" s="186"/>
      <c r="GC56" s="82"/>
      <c r="GD56" s="82"/>
      <c r="GE56" s="82"/>
      <c r="GF56" s="82"/>
      <c r="GG56" s="83"/>
      <c r="GH56" s="82"/>
      <c r="GI56" s="82"/>
      <c r="GJ56" s="82"/>
      <c r="GK56" s="82"/>
      <c r="GL56" s="82"/>
      <c r="GM56" s="82"/>
      <c r="GN56" s="82"/>
      <c r="GO56" s="82"/>
      <c r="GP56" s="82"/>
      <c r="GQ56" s="82"/>
      <c r="GR56" s="82"/>
      <c r="GS56" s="82"/>
      <c r="GT56" s="83"/>
      <c r="GU56" s="208"/>
      <c r="GV56" s="82"/>
      <c r="GW56" s="82"/>
      <c r="GX56" s="82"/>
      <c r="GY56" s="82"/>
      <c r="GZ56" s="82"/>
      <c r="HA56" s="82"/>
      <c r="HB56" s="82"/>
      <c r="HC56" s="82"/>
      <c r="HD56" s="82"/>
      <c r="HE56" s="82"/>
      <c r="HF56" s="82"/>
      <c r="HG56" s="82"/>
      <c r="HH56" s="82"/>
      <c r="HI56" s="82"/>
      <c r="HJ56" s="83"/>
      <c r="HK56" s="82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82"/>
    </row>
    <row r="57" spans="1:230" ht="15" thickBot="1" x14ac:dyDescent="0.2">
      <c r="B57" s="107"/>
      <c r="C57" s="148"/>
      <c r="D57" s="108"/>
      <c r="E57" s="109"/>
      <c r="F57" s="110"/>
      <c r="G57" s="167"/>
      <c r="H57" s="165"/>
      <c r="I57" s="166"/>
      <c r="J57" s="111"/>
      <c r="K57" s="111"/>
      <c r="L57" s="111"/>
      <c r="M57" s="112"/>
      <c r="N57" s="113"/>
      <c r="O57" s="114"/>
      <c r="P57" s="112"/>
      <c r="Q57" s="115"/>
      <c r="R57" s="116"/>
      <c r="S57" s="117"/>
      <c r="T57" s="118"/>
      <c r="U57" s="118"/>
      <c r="V57" s="118"/>
      <c r="W57" s="118"/>
      <c r="X57" s="118"/>
      <c r="Y57" s="119"/>
      <c r="Z57" s="119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9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9"/>
      <c r="AX57" s="120"/>
      <c r="AY57" s="118"/>
      <c r="AZ57" s="118"/>
      <c r="BA57" s="118"/>
      <c r="BB57" s="118"/>
      <c r="BC57" s="118"/>
      <c r="BD57" s="118"/>
      <c r="BE57" s="118"/>
      <c r="BF57" s="118"/>
      <c r="BG57" s="118"/>
      <c r="BH57" s="118"/>
      <c r="BI57" s="118"/>
      <c r="BJ57" s="118"/>
      <c r="BK57" s="118"/>
      <c r="BL57" s="118"/>
      <c r="BM57" s="187"/>
      <c r="BN57" s="118"/>
      <c r="BO57" s="119"/>
      <c r="BP57" s="118"/>
      <c r="BQ57" s="118"/>
      <c r="BR57" s="118"/>
      <c r="BS57" s="118"/>
      <c r="BT57" s="187"/>
      <c r="BU57" s="118"/>
      <c r="BV57" s="118"/>
      <c r="BW57" s="118"/>
      <c r="BX57" s="118"/>
      <c r="BY57" s="118"/>
      <c r="BZ57" s="118"/>
      <c r="CA57" s="119"/>
      <c r="CB57" s="120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87"/>
      <c r="CP57" s="118"/>
      <c r="CQ57" s="118"/>
      <c r="CR57" s="118"/>
      <c r="CS57" s="118"/>
      <c r="CT57" s="119"/>
      <c r="CU57" s="118"/>
      <c r="CV57" s="118"/>
      <c r="CW57" s="118"/>
      <c r="CX57" s="118"/>
      <c r="CY57" s="118"/>
      <c r="CZ57" s="118"/>
      <c r="DA57" s="118"/>
      <c r="DB57" s="118"/>
      <c r="DC57" s="118"/>
      <c r="DD57" s="118"/>
      <c r="DE57" s="118"/>
      <c r="DF57" s="119"/>
      <c r="DG57" s="120"/>
      <c r="DH57" s="118"/>
      <c r="DI57" s="118"/>
      <c r="DJ57" s="187"/>
      <c r="DK57" s="118"/>
      <c r="DL57" s="118"/>
      <c r="DM57" s="118"/>
      <c r="DN57" s="118"/>
      <c r="DO57" s="118"/>
      <c r="DP57" s="118"/>
      <c r="DQ57" s="118"/>
      <c r="DR57" s="118"/>
      <c r="DS57" s="118"/>
      <c r="DT57" s="118"/>
      <c r="DU57" s="118"/>
      <c r="DV57" s="118"/>
      <c r="DW57" s="118"/>
      <c r="DX57" s="118"/>
      <c r="DY57" s="119"/>
      <c r="DZ57" s="118"/>
      <c r="EA57" s="118"/>
      <c r="EB57" s="118"/>
      <c r="EC57" s="118"/>
      <c r="ED57" s="118"/>
      <c r="EE57" s="118"/>
      <c r="EF57" s="118"/>
      <c r="EG57" s="118"/>
      <c r="EH57" s="118"/>
      <c r="EI57" s="118"/>
      <c r="EJ57" s="119"/>
      <c r="EK57" s="120"/>
      <c r="EL57" s="118"/>
      <c r="EM57" s="118"/>
      <c r="EN57" s="118"/>
      <c r="EO57" s="118"/>
      <c r="EP57" s="118"/>
      <c r="EQ57" s="118"/>
      <c r="ER57" s="118"/>
      <c r="ES57" s="118"/>
      <c r="ET57" s="118"/>
      <c r="EU57" s="118"/>
      <c r="EV57" s="118"/>
      <c r="EW57" s="118"/>
      <c r="EX57" s="118"/>
      <c r="EY57" s="118"/>
      <c r="EZ57" s="118"/>
      <c r="FA57" s="118"/>
      <c r="FB57" s="118"/>
      <c r="FC57" s="119"/>
      <c r="FD57" s="118"/>
      <c r="FE57" s="118"/>
      <c r="FF57" s="118"/>
      <c r="FG57" s="187"/>
      <c r="FH57" s="118"/>
      <c r="FI57" s="118"/>
      <c r="FJ57" s="118"/>
      <c r="FK57" s="118"/>
      <c r="FL57" s="118"/>
      <c r="FM57" s="118"/>
      <c r="FN57" s="187"/>
      <c r="FO57" s="200"/>
      <c r="FP57" s="201"/>
      <c r="FQ57" s="187"/>
      <c r="FR57" s="187"/>
      <c r="FS57" s="118"/>
      <c r="FT57" s="118"/>
      <c r="FU57" s="118"/>
      <c r="FV57" s="118"/>
      <c r="FW57" s="118"/>
      <c r="FX57" s="118"/>
      <c r="FY57" s="118"/>
      <c r="FZ57" s="118"/>
      <c r="GA57" s="118"/>
      <c r="GB57" s="187"/>
      <c r="GC57" s="118"/>
      <c r="GD57" s="118"/>
      <c r="GE57" s="118"/>
      <c r="GF57" s="118"/>
      <c r="GG57" s="119"/>
      <c r="GH57" s="118"/>
      <c r="GI57" s="118"/>
      <c r="GJ57" s="118"/>
      <c r="GK57" s="118"/>
      <c r="GL57" s="118"/>
      <c r="GM57" s="118"/>
      <c r="GN57" s="118"/>
      <c r="GO57" s="118"/>
      <c r="GP57" s="118"/>
      <c r="GQ57" s="118"/>
      <c r="GR57" s="118"/>
      <c r="GS57" s="118"/>
      <c r="GT57" s="119"/>
      <c r="GU57" s="209"/>
      <c r="GV57" s="118"/>
      <c r="GW57" s="118"/>
      <c r="GX57" s="118"/>
      <c r="GY57" s="118"/>
      <c r="GZ57" s="118"/>
      <c r="HA57" s="118"/>
      <c r="HB57" s="118"/>
      <c r="HC57" s="118"/>
      <c r="HD57" s="118"/>
      <c r="HE57" s="118"/>
      <c r="HF57" s="118"/>
      <c r="HG57" s="118"/>
      <c r="HH57" s="118"/>
      <c r="HI57" s="118"/>
      <c r="HJ57" s="119"/>
      <c r="HK57" s="118"/>
      <c r="HL57" s="118"/>
      <c r="HM57" s="118"/>
      <c r="HN57" s="118"/>
      <c r="HO57" s="118"/>
      <c r="HP57" s="118"/>
      <c r="HQ57" s="118"/>
      <c r="HR57" s="118"/>
      <c r="HS57" s="118"/>
      <c r="HT57" s="118"/>
      <c r="HU57" s="118"/>
      <c r="HV57" s="118"/>
    </row>
  </sheetData>
  <mergeCells count="17"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  <mergeCell ref="AF1:AG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7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7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7">
    <cfRule type="expression" dxfId="2" priority="705" stopIfTrue="1">
      <formula>#REF! = 1</formula>
    </cfRule>
  </conditionalFormatting>
  <conditionalFormatting sqref="M9:Q57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9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2025-07-01T04:53:14Z</cp:lastPrinted>
  <dcterms:created xsi:type="dcterms:W3CDTF">1997-03-28T07:15:09Z</dcterms:created>
  <dcterms:modified xsi:type="dcterms:W3CDTF">2025-07-11T05:41:03Z</dcterms:modified>
</cp:coreProperties>
</file>